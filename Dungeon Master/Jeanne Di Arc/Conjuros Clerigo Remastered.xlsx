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4604e5eff5508ce9/Desktop/WIZARD SPELLS/Dungeon Master/Jeanne Di Arc/"/>
    </mc:Choice>
  </mc:AlternateContent>
  <xr:revisionPtr revIDLastSave="55" documentId="13_ncr:1_{7D930562-9F7C-4AD5-8900-CBE9AAD0E6F1}" xr6:coauthVersionLast="47" xr6:coauthVersionMax="47" xr10:uidLastSave="{F17D7D23-66E3-49D9-B1AA-E9C717BDD7D2}"/>
  <bookViews>
    <workbookView xWindow="-108" yWindow="-108" windowWidth="23256" windowHeight="12456" activeTab="1" xr2:uid="{00000000-000D-0000-FFFF-FFFF00000000}"/>
  </bookViews>
  <sheets>
    <sheet name="Conjuros Clerigo" sheetId="1" r:id="rId1"/>
    <sheet name="Spells Remastered" sheetId="2" r:id="rId2"/>
  </sheets>
  <definedNames>
    <definedName name="_xlnm._FilterDatabase" localSheetId="1" hidden="1">'Spells Remastered'!$L$1:$L$1048554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2" l="1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P4" i="2"/>
  <c r="P5" i="2"/>
  <c r="P6" i="2"/>
  <c r="P3" i="2"/>
  <c r="I8" i="2"/>
  <c r="I3" i="2"/>
  <c r="I4" i="2"/>
  <c r="I5" i="2"/>
  <c r="I6" i="2"/>
  <c r="I7" i="2"/>
  <c r="I2" i="2"/>
</calcChain>
</file>

<file path=xl/sharedStrings.xml><?xml version="1.0" encoding="utf-8"?>
<sst xmlns="http://schemas.openxmlformats.org/spreadsheetml/2006/main" count="1073" uniqueCount="310">
  <si>
    <t>Nivel</t>
  </si>
  <si>
    <t>Nombre del conjuro</t>
  </si>
  <si>
    <t>Descripción</t>
  </si>
  <si>
    <t>Limitaciones</t>
  </si>
  <si>
    <t>¿Narrativo o Mecánico?</t>
  </si>
  <si>
    <t>Tipo de tirada</t>
  </si>
  <si>
    <t>CD mínima / Cómo impacta</t>
  </si>
  <si>
    <t>Truco</t>
  </si>
  <si>
    <t>Sacred Flame</t>
  </si>
  <si>
    <t>Llama radiante desciende sobre un enemigo.</t>
  </si>
  <si>
    <t>No afecta a criaturas con cobertura total.</t>
  </si>
  <si>
    <t>Mecánico</t>
  </si>
  <si>
    <t>Salvación DEX del objetivo</t>
  </si>
  <si>
    <t>CD de tus conjuros</t>
  </si>
  <si>
    <t>Toll the Dead</t>
  </si>
  <si>
    <t>Campana espectral daña a criatura herida.</t>
  </si>
  <si>
    <t>Más fuerte si ya perdió HP.</t>
  </si>
  <si>
    <t>Salvación WIS del objetivo</t>
  </si>
  <si>
    <t>Guidance</t>
  </si>
  <si>
    <t>Aliado suma 1d4 a una prueba.</t>
  </si>
  <si>
    <t>Concentración.</t>
  </si>
  <si>
    <t>Narrativo/Mecánico</t>
  </si>
  <si>
    <t>Sin tirada de ataque</t>
  </si>
  <si>
    <t>Se aplica a habilidad</t>
  </si>
  <si>
    <t>Light</t>
  </si>
  <si>
    <t>Objeto brilla como antorcha.</t>
  </si>
  <si>
    <t>Objeto debe ser tocado.</t>
  </si>
  <si>
    <t>Narrativo</t>
  </si>
  <si>
    <t>Ninguna</t>
  </si>
  <si>
    <t>Automático</t>
  </si>
  <si>
    <t>Thaumaturgy</t>
  </si>
  <si>
    <t>Efectos sobrenaturales menores.</t>
  </si>
  <si>
    <t>Solo efectos menores.</t>
  </si>
  <si>
    <t>Spare the Dying</t>
  </si>
  <si>
    <t>Estabiliza criatura moribunda.</t>
  </si>
  <si>
    <t>No cura HP.</t>
  </si>
  <si>
    <t>Bless</t>
  </si>
  <si>
    <t>Aliados suman 1d4 a ataques y salvaciones.</t>
  </si>
  <si>
    <t>Bane</t>
  </si>
  <si>
    <t>Enemigos restan 1d4 a ataques y salvaciones.</t>
  </si>
  <si>
    <t>Salvación CHA</t>
  </si>
  <si>
    <t>Cure Wounds</t>
  </si>
  <si>
    <t>Cura tocando.</t>
  </si>
  <si>
    <t>Requiere contacto.</t>
  </si>
  <si>
    <t>1d8 + SAB</t>
  </si>
  <si>
    <t>Healing Word</t>
  </si>
  <si>
    <t>Cura a distancia como bonus.</t>
  </si>
  <si>
    <t>Menos potente.</t>
  </si>
  <si>
    <t>1d4 + SAB</t>
  </si>
  <si>
    <t>Guiding Bolt</t>
  </si>
  <si>
    <t>Rayo radiante que da ventaja al siguiente ataque.</t>
  </si>
  <si>
    <t>Ataque de conjuro.</t>
  </si>
  <si>
    <t>Ataque de conjuro a distancia</t>
  </si>
  <si>
    <t>d20 + SAB + competencia</t>
  </si>
  <si>
    <t>Inflict Wounds</t>
  </si>
  <si>
    <t>Toque necrótico de gran daño.</t>
  </si>
  <si>
    <t>Ataque de conjuro cuerpo a cuerpo</t>
  </si>
  <si>
    <t>Sanctuary</t>
  </si>
  <si>
    <t>Protege a una criatura de ataques.</t>
  </si>
  <si>
    <t>Se rompe si ataca.</t>
  </si>
  <si>
    <t>Salvación WIS</t>
  </si>
  <si>
    <t>Shield of Faith</t>
  </si>
  <si>
    <t>Otorga +2 CA.</t>
  </si>
  <si>
    <t>Spiritual Weapon</t>
  </si>
  <si>
    <t>Arma mágica ataca como acción bonus.</t>
  </si>
  <si>
    <t>No requiere concentración.</t>
  </si>
  <si>
    <t>Ataque de conjuro</t>
  </si>
  <si>
    <t>Hold Person</t>
  </si>
  <si>
    <t>Paraliza humanoide.</t>
  </si>
  <si>
    <t>Solo humanoides.</t>
  </si>
  <si>
    <t>Silence</t>
  </si>
  <si>
    <t>Zona sin sonido.</t>
  </si>
  <si>
    <t>Blindness/Deafness</t>
  </si>
  <si>
    <t>Quita vista u oído.</t>
  </si>
  <si>
    <t>Solo un sentido.</t>
  </si>
  <si>
    <t>Salvación CON</t>
  </si>
  <si>
    <t>Aid</t>
  </si>
  <si>
    <t>Aumenta HP máximos y actuales.</t>
  </si>
  <si>
    <t>No es curación directa.</t>
  </si>
  <si>
    <t>Lesser Restoration</t>
  </si>
  <si>
    <t>Elimina enfermedad, veneno, parálisis o ceguera.</t>
  </si>
  <si>
    <t>Una condición por uso.</t>
  </si>
  <si>
    <t>Calm Emotions</t>
  </si>
  <si>
    <t>Suprime miedo o ira.</t>
  </si>
  <si>
    <t>Prayer of Healing</t>
  </si>
  <si>
    <t>Cura grupal fuera de combate.</t>
  </si>
  <si>
    <t>Tiempo de lanzamiento largo.</t>
  </si>
  <si>
    <t>2d8 + SAB</t>
  </si>
  <si>
    <t>Animate Dead</t>
  </si>
  <si>
    <t>Crea o controla no-muertos.</t>
  </si>
  <si>
    <t>Requiere restos óseos/cadáver.</t>
  </si>
  <si>
    <t>Mecánico/Narrativo</t>
  </si>
  <si>
    <t>Automático al completar</t>
  </si>
  <si>
    <t>Bestow Curse</t>
  </si>
  <si>
    <t>Maldición con varios efectos negativos.</t>
  </si>
  <si>
    <t>Concentración (según versión).</t>
  </si>
  <si>
    <t>Clairvoyance</t>
  </si>
  <si>
    <t>Sensor mágico para ver u oír a distancia.</t>
  </si>
  <si>
    <t>Lugar conocido o visible.</t>
  </si>
  <si>
    <t>Narrativo/Utilidad</t>
  </si>
  <si>
    <t>Create Food and Water</t>
  </si>
  <si>
    <t>Crea comida y agua.</t>
  </si>
  <si>
    <t>Sabor simple.</t>
  </si>
  <si>
    <t>Narrativo/Soporte</t>
  </si>
  <si>
    <t>Daylight</t>
  </si>
  <si>
    <t>Luz intensa en un área.</t>
  </si>
  <si>
    <t>No es luz solar real.</t>
  </si>
  <si>
    <t>Dispel Magic</t>
  </si>
  <si>
    <t>Termina efectos mágicos.</t>
  </si>
  <si>
    <t>Depende del nivel del conjuro objetivo.</t>
  </si>
  <si>
    <t>Prueba de característica</t>
  </si>
  <si>
    <t>d20 + SAB vs CD 10 + nivel conjuro</t>
  </si>
  <si>
    <t>Feign Death</t>
  </si>
  <si>
    <t>Simula muerte.</t>
  </si>
  <si>
    <t>Objetivo voluntario.</t>
  </si>
  <si>
    <t>Glyph of Warding</t>
  </si>
  <si>
    <t>Trampa mágica almacenada.</t>
  </si>
  <si>
    <t>Tiempo y materiales.</t>
  </si>
  <si>
    <t>Salvación según efecto</t>
  </si>
  <si>
    <t>Mass Healing Word</t>
  </si>
  <si>
    <t>Cura varios aliados a distancia.</t>
  </si>
  <si>
    <t>Curación menor.</t>
  </si>
  <si>
    <t>Protection from Energy</t>
  </si>
  <si>
    <t>Resistencia a un tipo de daño.</t>
  </si>
  <si>
    <t>Remove Curse</t>
  </si>
  <si>
    <t>Elimina maldiciones.</t>
  </si>
  <si>
    <t>Algunas maldiciones poderosas resisten.</t>
  </si>
  <si>
    <t>Revivify</t>
  </si>
  <si>
    <t>Devuelve a la vida reciente.</t>
  </si>
  <si>
    <t>1 minuto tras muerte, diamantes.</t>
  </si>
  <si>
    <t>Sending</t>
  </si>
  <si>
    <t>Mensaje mental a cualquier distancia.</t>
  </si>
  <si>
    <t>Mensaje corto.</t>
  </si>
  <si>
    <t>Speak with Dead</t>
  </si>
  <si>
    <t>Hablas con un cadáver.</t>
  </si>
  <si>
    <t>No sabe más de lo que supo en vida.</t>
  </si>
  <si>
    <t>Spirit Guardians</t>
  </si>
  <si>
    <t>Espíritus dañan enemigos cercanos.</t>
  </si>
  <si>
    <t>Tongues</t>
  </si>
  <si>
    <t>Entiendes y hablas cualquier idioma.</t>
  </si>
  <si>
    <t>Duración limitada.</t>
  </si>
  <si>
    <t>Banishment</t>
  </si>
  <si>
    <t>Destierra criatura extraplanar.</t>
  </si>
  <si>
    <t>Control Water</t>
  </si>
  <si>
    <t>Manipula agua en gran área.</t>
  </si>
  <si>
    <t>Requiere agua presente.</t>
  </si>
  <si>
    <t>Death Ward</t>
  </si>
  <si>
    <t>Evita que alguien muera una vez.</t>
  </si>
  <si>
    <t>Se activa una vez.</t>
  </si>
  <si>
    <t>Divination</t>
  </si>
  <si>
    <t>Consulta a una deidad.</t>
  </si>
  <si>
    <t>Respuesta críptica.</t>
  </si>
  <si>
    <t>Freedom of Movement</t>
  </si>
  <si>
    <t>Evita restricción de movimiento.</t>
  </si>
  <si>
    <t>No quita condiciones mentales.</t>
  </si>
  <si>
    <t>Guardian of Faith</t>
  </si>
  <si>
    <t>Centinela espectral daña enemigos.</t>
  </si>
  <si>
    <t>Tiene límite de daño total.</t>
  </si>
  <si>
    <t>Salvación DEX</t>
  </si>
  <si>
    <t>Locate Creature</t>
  </si>
  <si>
    <t>Encuentra criatura conocida.</t>
  </si>
  <si>
    <t>No atraviesa plomo.</t>
  </si>
  <si>
    <t>Utilidad</t>
  </si>
  <si>
    <t>Stone Shape</t>
  </si>
  <si>
    <t>Moldea piedra.</t>
  </si>
  <si>
    <t>Piedra trabajable.</t>
  </si>
  <si>
    <t>Commune</t>
  </si>
  <si>
    <t>Preguntas directas a tu deidad.</t>
  </si>
  <si>
    <t>Sí/no limitado.</t>
  </si>
  <si>
    <t>Contagion</t>
  </si>
  <si>
    <t>Infliges enfermedad sobrenatural.</t>
  </si>
  <si>
    <t>Contacto necesario.</t>
  </si>
  <si>
    <t>Salvaciones múltiples</t>
  </si>
  <si>
    <t>Dispel Evil and Good</t>
  </si>
  <si>
    <t>Protección contra entidades extraplanares.</t>
  </si>
  <si>
    <t>Flame Strike</t>
  </si>
  <si>
    <t>Columna de fuego y luz radiante.</t>
  </si>
  <si>
    <t>Área fija.</t>
  </si>
  <si>
    <t>Geas</t>
  </si>
  <si>
    <t>Orden mágica a largo plazo.</t>
  </si>
  <si>
    <t>Objetivo entiende orden.</t>
  </si>
  <si>
    <t>Greater Restoration</t>
  </si>
  <si>
    <t>Elimina efectos graves.</t>
  </si>
  <si>
    <t>Coste material.</t>
  </si>
  <si>
    <t>Hallow</t>
  </si>
  <si>
    <t>Consagra o profana un área.</t>
  </si>
  <si>
    <t>Lanzamiento largo.</t>
  </si>
  <si>
    <t>Insect Plague</t>
  </si>
  <si>
    <t>Enjambre daña en área.</t>
  </si>
  <si>
    <t>Legend Lore</t>
  </si>
  <si>
    <t>Información histórica profunda.</t>
  </si>
  <si>
    <t>Mass Cure Wounds</t>
  </si>
  <si>
    <t>Cura grupo en área.</t>
  </si>
  <si>
    <t>Curación media.</t>
  </si>
  <si>
    <t>3d8 + SAB</t>
  </si>
  <si>
    <t>Raise Dead</t>
  </si>
  <si>
    <t>Revive muerto reciente.</t>
  </si>
  <si>
    <t>Coste material alto.</t>
  </si>
  <si>
    <t>Scrying</t>
  </si>
  <si>
    <t>Observas criatura a distancia.</t>
  </si>
  <si>
    <t>recupera 1 punto de golpe al inicio de cada turno</t>
  </si>
  <si>
    <t xml:space="preserve">mecánico </t>
  </si>
  <si>
    <t xml:space="preserve">Mecánico </t>
  </si>
  <si>
    <t xml:space="preserve">Requiere contacto, concentración </t>
  </si>
  <si>
    <t xml:space="preserve">See invisibility </t>
  </si>
  <si>
    <t>ve criaturas y objetos invisibles a 10 pies</t>
  </si>
  <si>
    <t xml:space="preserve">ninguna </t>
  </si>
  <si>
    <t>nivel pj</t>
  </si>
  <si>
    <t>hechizos x nivel</t>
  </si>
  <si>
    <t>5 (3lv1/2lv2)</t>
  </si>
  <si>
    <t>6 (4lv1/2lv2)</t>
  </si>
  <si>
    <t>7 (</t>
  </si>
  <si>
    <t>4lv1/3lv2/2lv3</t>
  </si>
  <si>
    <t>virtue</t>
  </si>
  <si>
    <t>NIVEL</t>
  </si>
  <si>
    <t>HECHIZO</t>
  </si>
  <si>
    <t>DESCRIPCION</t>
  </si>
  <si>
    <t>RESTRICCION</t>
  </si>
  <si>
    <t>NARRATIVO</t>
  </si>
  <si>
    <t>No</t>
  </si>
  <si>
    <t>Both</t>
  </si>
  <si>
    <t>Si</t>
  </si>
  <si>
    <t xml:space="preserve">Si </t>
  </si>
  <si>
    <t>TIRADA</t>
  </si>
  <si>
    <t>-</t>
  </si>
  <si>
    <t>Salvación DEX del objetivo (</t>
  </si>
  <si>
    <t>TIRADA (CD Y COMO IMPACTA)</t>
  </si>
  <si>
    <t>ALCANCE</t>
  </si>
  <si>
    <t>CONCENTRACION</t>
  </si>
  <si>
    <t>EQUIPADO</t>
  </si>
  <si>
    <t>DURACION (1 turno  = 1 MINUTO)</t>
  </si>
  <si>
    <t>1 minuto</t>
  </si>
  <si>
    <t>60 pies</t>
  </si>
  <si>
    <t>Personal</t>
  </si>
  <si>
    <t>8 horas</t>
  </si>
  <si>
    <t>120 pies</t>
  </si>
  <si>
    <t>Toque</t>
  </si>
  <si>
    <t>1 hora</t>
  </si>
  <si>
    <t>10 minutos</t>
  </si>
  <si>
    <t>CANTIDAD</t>
  </si>
  <si>
    <t>PJ / HECHIZOS</t>
  </si>
  <si>
    <t>UNKNOWN</t>
  </si>
  <si>
    <t>30 pies</t>
  </si>
  <si>
    <t>10 pies</t>
  </si>
  <si>
    <t>1 milla</t>
  </si>
  <si>
    <t>Ilimitado</t>
  </si>
  <si>
    <t>15 pies</t>
  </si>
  <si>
    <t>300 pies</t>
  </si>
  <si>
    <t>Instantáneo</t>
  </si>
  <si>
    <t>Hasta 1 minuto</t>
  </si>
  <si>
    <t>1 ronda</t>
  </si>
  <si>
    <t>Hasta 10 minutos</t>
  </si>
  <si>
    <t>1 minuto (o más)</t>
  </si>
  <si>
    <t>Hasta disiparse</t>
  </si>
  <si>
    <t>Hasta 1 hora</t>
  </si>
  <si>
    <t>7 días (variable)</t>
  </si>
  <si>
    <t>30 días</t>
  </si>
  <si>
    <t>Permanente</t>
  </si>
  <si>
    <t>TIPO HECHIZO</t>
  </si>
  <si>
    <t>COLOR REFERENCIA</t>
  </si>
  <si>
    <t>Ataque</t>
  </si>
  <si>
    <t>Neutral/Ciber</t>
  </si>
  <si>
    <t>Categoría</t>
  </si>
  <si>
    <t>Ayuda</t>
  </si>
  <si>
    <t>Neutral</t>
  </si>
  <si>
    <t>Curación</t>
  </si>
  <si>
    <t>Control</t>
  </si>
  <si>
    <t>Investigación</t>
  </si>
  <si>
    <t>Curacion</t>
  </si>
  <si>
    <t>Investigacion</t>
  </si>
  <si>
    <t>Sacred Flame (Llama Sagrada)</t>
  </si>
  <si>
    <t>Toll the Dead (Tañido de la muerte)</t>
  </si>
  <si>
    <t>Guidance (Guia)</t>
  </si>
  <si>
    <t>Light (Luz)</t>
  </si>
  <si>
    <t>Thaumaturgy (Taumaturgia)</t>
  </si>
  <si>
    <t>Spare the Dying (Perdonar a los moribundos)</t>
  </si>
  <si>
    <t>Virtue (Virtud)</t>
  </si>
  <si>
    <t>Bless (Bendencir)</t>
  </si>
  <si>
    <t>Bane (Perdicion)</t>
  </si>
  <si>
    <t>Cure Wounds (Curar Heridas)</t>
  </si>
  <si>
    <t>Healing Word (Palabra Curativa)</t>
  </si>
  <si>
    <t>Guiding Bolt (Rayo radiante)</t>
  </si>
  <si>
    <t>Inflict Wounds (Infligir heridas)</t>
  </si>
  <si>
    <t>Sanctuary (Santuario)</t>
  </si>
  <si>
    <t>Shield of Faith (Escudo de Fe)</t>
  </si>
  <si>
    <t>See Invisibility (Ver lo invisble)</t>
  </si>
  <si>
    <t>Spiritual Weapon (Arma espiritual)</t>
  </si>
  <si>
    <t>Hold Person (Inmovilizar persona)</t>
  </si>
  <si>
    <t>Silence (Silencio)</t>
  </si>
  <si>
    <t>Aid (Ayuda)</t>
  </si>
  <si>
    <t>Lesser Restoration (Restauración menor)</t>
  </si>
  <si>
    <t>Calm Emotions (Calmar emociones)</t>
  </si>
  <si>
    <t>Prayer of Healing (Oración de sanación)</t>
  </si>
  <si>
    <t>Animate Dead (Animar a los muertos)</t>
  </si>
  <si>
    <t>Bestow Curse (Imponer maldición)</t>
  </si>
  <si>
    <t>Clairvoyance (Clarividencia)</t>
  </si>
  <si>
    <t>Create Food and Water (Crear comida y agua)</t>
  </si>
  <si>
    <t>Daylight (Luz de Dia)</t>
  </si>
  <si>
    <t>Dispel Magic (Disipar magia)</t>
  </si>
  <si>
    <t>Feign Death (Simular muerte)</t>
  </si>
  <si>
    <t>Glyph of Warding (Glifo de custodia)</t>
  </si>
  <si>
    <t>Mass Healing Word (Palabra de curación en masa)</t>
  </si>
  <si>
    <t>Protection from Energy (Protección contra la energía)</t>
  </si>
  <si>
    <t>Remove Curse (Remover Maldicion)</t>
  </si>
  <si>
    <t>Revivify (Revivificar)</t>
  </si>
  <si>
    <t>Speak with Dead (Hablar con los muertos)</t>
  </si>
  <si>
    <t>Spirit Guardians (Guardianes espirituales)</t>
  </si>
  <si>
    <t>Tongues (Lenguas- Idiomas)</t>
  </si>
  <si>
    <t>Sending (Envio-Mensaje)</t>
  </si>
  <si>
    <t>Blindness-Deafness (Ceguera-Sordera)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</si>
</sst>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1" tint="9.9978637043366805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CC00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9616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C66FF"/>
        <bgColor indexed="64"/>
      </patternFill>
    </fill>
  </fills>
  <borders count="3">
    <border>
      <left/>
      <right/>
      <top/>
      <bottom/>
      <diagonal/>
    </border>
    <border>
      <left style="hair">
        <color rgb="FF505050"/>
      </left>
      <right style="hair">
        <color rgb="FF505050"/>
      </right>
      <top style="hair">
        <color rgb="FF505050"/>
      </top>
      <bottom style="hair">
        <color rgb="FF50505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2" borderId="0" xfId="0" applyFill="1"/>
    <xf numFmtId="0" fontId="1" fillId="3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0" fillId="0" borderId="1" xfId="0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8" borderId="1" xfId="0" applyFill="1" applyBorder="1"/>
    <xf numFmtId="0" fontId="0" fillId="9" borderId="1" xfId="0" applyFill="1" applyBorder="1"/>
    <xf numFmtId="0" fontId="0" fillId="9" borderId="0" xfId="0" applyFill="1"/>
    <xf numFmtId="0" fontId="0" fillId="10" borderId="1" xfId="0" applyFill="1" applyBorder="1"/>
    <xf numFmtId="0" fontId="0" fillId="10" borderId="0" xfId="0" applyFill="1"/>
    <xf numFmtId="0" fontId="0" fillId="11" borderId="1" xfId="0" applyFill="1" applyBorder="1"/>
    <xf numFmtId="0" fontId="0" fillId="12" borderId="1" xfId="0" applyFill="1" applyBorder="1"/>
    <xf numFmtId="0" fontId="0" fillId="13" borderId="1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14" borderId="1" xfId="0" applyFill="1" applyBorder="1"/>
    <xf numFmtId="0" fontId="0" fillId="15" borderId="1" xfId="0" applyFill="1" applyBorder="1"/>
    <xf numFmtId="0" fontId="2" fillId="16" borderId="0" xfId="0" applyFont="1" applyFill="1" applyAlignment="1">
      <alignment horizontal="center"/>
    </xf>
    <xf numFmtId="0" fontId="2" fillId="17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2" fillId="18" borderId="0" xfId="0" applyFont="1" applyFill="1" applyAlignment="1">
      <alignment horizontal="center"/>
    </xf>
    <xf numFmtId="0" fontId="0" fillId="17" borderId="1" xfId="0" applyFill="1" applyBorder="1"/>
    <xf numFmtId="0" fontId="0" fillId="0" borderId="0" xfId="0" applyAlignment="1">
      <alignment wrapText="1"/>
    </xf>
    <xf numFmtId="0" fontId="0" fillId="0" borderId="2" xfId="0" applyBorder="1"/>
    <xf numFmtId="0" fontId="0" fillId="23" borderId="2" xfId="0" applyFill="1" applyBorder="1" applyAlignment="1">
      <alignment wrapText="1"/>
    </xf>
    <xf numFmtId="0" fontId="0" fillId="0" borderId="2" xfId="0" applyBorder="1" applyAlignment="1">
      <alignment horizontal="center" vertical="center"/>
    </xf>
    <xf numFmtId="0" fontId="0" fillId="23" borderId="2" xfId="0" applyFill="1" applyBorder="1"/>
    <xf numFmtId="0" fontId="0" fillId="23" borderId="2" xfId="0" applyFill="1" applyBorder="1" applyAlignment="1">
      <alignment horizontal="center" vertical="top" wrapText="1"/>
    </xf>
    <xf numFmtId="0" fontId="0" fillId="0" borderId="2" xfId="0" applyBorder="1" applyAlignment="1">
      <alignment wrapText="1"/>
    </xf>
    <xf numFmtId="0" fontId="0" fillId="19" borderId="2" xfId="0" applyFill="1" applyBorder="1" applyAlignment="1">
      <alignment horizontal="center" vertical="center"/>
    </xf>
    <xf numFmtId="0" fontId="0" fillId="20" borderId="2" xfId="0" applyFill="1" applyBorder="1" applyAlignment="1">
      <alignment horizontal="center" vertical="center"/>
    </xf>
    <xf numFmtId="0" fontId="0" fillId="15" borderId="2" xfId="0" applyFill="1" applyBorder="1" applyAlignment="1">
      <alignment horizontal="center" vertical="center"/>
    </xf>
    <xf numFmtId="0" fontId="0" fillId="21" borderId="2" xfId="0" applyFill="1" applyBorder="1" applyAlignment="1">
      <alignment horizontal="center" vertical="center"/>
    </xf>
    <xf numFmtId="0" fontId="0" fillId="22" borderId="2" xfId="0" applyFill="1" applyBorder="1" applyAlignment="1">
      <alignment horizontal="center" vertical="center"/>
    </xf>
    <xf numFmtId="0" fontId="2" fillId="19" borderId="2" xfId="0" applyFont="1" applyFill="1" applyBorder="1" applyAlignment="1">
      <alignment horizontal="center" vertical="center"/>
    </xf>
    <xf numFmtId="0" fontId="2" fillId="20" borderId="2" xfId="0" applyFont="1" applyFill="1" applyBorder="1" applyAlignment="1">
      <alignment horizontal="center" vertical="center"/>
    </xf>
    <xf numFmtId="0" fontId="2" fillId="15" borderId="2" xfId="0" applyFont="1" applyFill="1" applyBorder="1" applyAlignment="1">
      <alignment horizontal="center" vertical="center"/>
    </xf>
    <xf numFmtId="0" fontId="2" fillId="21" borderId="2" xfId="0" applyFont="1" applyFill="1" applyBorder="1" applyAlignment="1">
      <alignment horizontal="center" vertical="center"/>
    </xf>
    <xf numFmtId="0" fontId="2" fillId="22" borderId="2" xfId="0" applyFont="1" applyFill="1" applyBorder="1" applyAlignment="1">
      <alignment horizontal="center" vertical="center"/>
    </xf>
    <xf numFmtId="0" fontId="3" fillId="23" borderId="2" xfId="0" applyFont="1" applyFill="1" applyBorder="1" applyAlignment="1">
      <alignment horizontal="center" vertical="center" wrapText="1"/>
    </xf>
    <xf numFmtId="0" fontId="3" fillId="24" borderId="2" xfId="0" applyFont="1" applyFill="1" applyBorder="1" applyAlignment="1">
      <alignment horizontal="center" vertical="center"/>
    </xf>
    <xf numFmtId="0" fontId="3" fillId="19" borderId="2" xfId="0" applyFont="1" applyFill="1" applyBorder="1" applyAlignment="1">
      <alignment horizontal="center" vertical="center"/>
    </xf>
    <xf numFmtId="0" fontId="3" fillId="20" borderId="2" xfId="0" applyFont="1" applyFill="1" applyBorder="1" applyAlignment="1">
      <alignment horizontal="center" vertical="center"/>
    </xf>
    <xf numFmtId="0" fontId="3" fillId="15" borderId="2" xfId="0" applyFont="1" applyFill="1" applyBorder="1" applyAlignment="1">
      <alignment horizontal="center" vertical="center"/>
    </xf>
    <xf numFmtId="0" fontId="3" fillId="21" borderId="2" xfId="0" applyFont="1" applyFill="1" applyBorder="1" applyAlignment="1">
      <alignment horizontal="center" vertical="center"/>
    </xf>
    <xf numFmtId="0" fontId="3" fillId="22" borderId="2" xfId="0" applyFont="1" applyFill="1" applyBorder="1" applyAlignment="1">
      <alignment horizontal="center" vertical="center"/>
    </xf>
    <xf numFmtId="0" fontId="4" fillId="23" borderId="2" xfId="0" applyFont="1" applyFill="1" applyBorder="1" applyAlignment="1">
      <alignment wrapText="1"/>
    </xf>
    <xf numFmtId="0" fontId="4" fillId="23" borderId="2" xfId="0" applyFont="1" applyFill="1" applyBorder="1" applyAlignment="1">
      <alignment horizontal="center"/>
    </xf>
    <xf numFmtId="0" fontId="0" fillId="25" borderId="2" xfId="0" applyFill="1" applyBorder="1"/>
    <xf numFmtId="0" fontId="0" fillId="24" borderId="2" xfId="0" applyFill="1" applyBorder="1"/>
    <xf numFmtId="0" fontId="0" fillId="6" borderId="2" xfId="0" applyFill="1" applyBorder="1"/>
    <xf numFmtId="0" fontId="0" fillId="26" borderId="2" xfId="0" applyFill="1" applyBorder="1"/>
    <xf numFmtId="0" fontId="0" fillId="27" borderId="2" xfId="0" applyFill="1" applyBorder="1" applyAlignment="1">
      <alignment horizontal="center" vertical="center"/>
    </xf>
    <xf numFmtId="0" fontId="0" fillId="12" borderId="2" xfId="0" applyFill="1" applyBorder="1"/>
    <xf numFmtId="0" fontId="0" fillId="28" borderId="2" xfId="0" applyFill="1" applyBorder="1"/>
    <xf numFmtId="0" fontId="0" fillId="29" borderId="2" xfId="0" applyFill="1" applyBorder="1"/>
  </cellXfs>
  <cellStyles count="1">
    <cellStyle name="Normal" xfId="0" builtinId="0"/>
  </cellStyles>
  <dxfs count="19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49E9E"/>
        </patternFill>
      </fill>
    </dxf>
    <dxf>
      <fill>
        <patternFill>
          <bgColor theme="6" tint="0.59996337778862885"/>
        </patternFill>
      </fill>
    </dxf>
    <dxf>
      <fill>
        <patternFill>
          <bgColor rgb="FFFFCC66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CC66"/>
      <color rgb="FFF49E9E"/>
      <color rgb="FFCC66FF"/>
      <color rgb="FFFF99FF"/>
      <color rgb="FFCC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1"/>
  <sheetViews>
    <sheetView topLeftCell="B1" workbookViewId="0">
      <selection activeCell="J7" sqref="J7:J8"/>
    </sheetView>
  </sheetViews>
  <sheetFormatPr defaultRowHeight="14.4" x14ac:dyDescent="0.3"/>
  <cols>
    <col min="1" max="1" width="8.5546875" style="1"/>
    <col min="2" max="2" width="27.33203125" customWidth="1"/>
    <col min="3" max="3" width="43.33203125" customWidth="1"/>
    <col min="4" max="4" width="35.88671875" customWidth="1"/>
    <col min="5" max="5" width="21.88671875" customWidth="1"/>
    <col min="6" max="6" width="29.5546875" customWidth="1"/>
    <col min="7" max="7" width="27.21875" customWidth="1"/>
    <col min="10" max="10" width="19.6640625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/>
      <c r="I1" s="2" t="s">
        <v>207</v>
      </c>
      <c r="J1" s="2" t="s">
        <v>208</v>
      </c>
    </row>
    <row r="2" spans="1:10" x14ac:dyDescent="0.3">
      <c r="A2" s="20" t="s">
        <v>7</v>
      </c>
      <c r="B2" s="18" t="s">
        <v>8</v>
      </c>
      <c r="C2" s="15" t="s">
        <v>9</v>
      </c>
      <c r="D2" s="15" t="s">
        <v>10</v>
      </c>
      <c r="E2" s="15" t="s">
        <v>11</v>
      </c>
      <c r="F2" s="15" t="s">
        <v>12</v>
      </c>
      <c r="G2" s="15" t="s">
        <v>13</v>
      </c>
      <c r="H2" s="5"/>
      <c r="I2" s="13">
        <v>1</v>
      </c>
      <c r="J2" s="14"/>
    </row>
    <row r="3" spans="1:10" x14ac:dyDescent="0.3">
      <c r="A3" s="20" t="s">
        <v>7</v>
      </c>
      <c r="B3" s="18" t="s">
        <v>14</v>
      </c>
      <c r="C3" s="15" t="s">
        <v>15</v>
      </c>
      <c r="D3" s="15" t="s">
        <v>16</v>
      </c>
      <c r="E3" s="15" t="s">
        <v>11</v>
      </c>
      <c r="F3" s="15" t="s">
        <v>17</v>
      </c>
      <c r="G3" s="15" t="s">
        <v>13</v>
      </c>
      <c r="H3" s="5"/>
      <c r="I3" s="13">
        <v>2</v>
      </c>
      <c r="J3" s="14" t="s">
        <v>209</v>
      </c>
    </row>
    <row r="4" spans="1:10" x14ac:dyDescent="0.3">
      <c r="A4" s="3" t="s">
        <v>7</v>
      </c>
      <c r="B4" s="8" t="s">
        <v>18</v>
      </c>
      <c r="C4" s="8" t="s">
        <v>19</v>
      </c>
      <c r="D4" s="8" t="s">
        <v>20</v>
      </c>
      <c r="E4" s="8" t="s">
        <v>21</v>
      </c>
      <c r="F4" s="8" t="s">
        <v>22</v>
      </c>
      <c r="G4" s="8" t="s">
        <v>23</v>
      </c>
      <c r="H4" s="5"/>
      <c r="I4" s="13">
        <v>3</v>
      </c>
      <c r="J4" s="14" t="s">
        <v>210</v>
      </c>
    </row>
    <row r="5" spans="1:10" x14ac:dyDescent="0.3">
      <c r="A5" s="3" t="s">
        <v>7</v>
      </c>
      <c r="B5" s="8" t="s">
        <v>24</v>
      </c>
      <c r="C5" s="8" t="s">
        <v>25</v>
      </c>
      <c r="D5" s="8" t="s">
        <v>26</v>
      </c>
      <c r="E5" s="8" t="s">
        <v>27</v>
      </c>
      <c r="F5" s="8" t="s">
        <v>28</v>
      </c>
      <c r="G5" s="8" t="s">
        <v>29</v>
      </c>
      <c r="H5" s="5"/>
      <c r="I5" s="13">
        <v>4</v>
      </c>
      <c r="J5" s="14" t="s">
        <v>211</v>
      </c>
    </row>
    <row r="6" spans="1:10" x14ac:dyDescent="0.3">
      <c r="A6" s="4" t="s">
        <v>7</v>
      </c>
      <c r="B6" s="10" t="s">
        <v>30</v>
      </c>
      <c r="C6" s="5" t="s">
        <v>31</v>
      </c>
      <c r="D6" s="5" t="s">
        <v>32</v>
      </c>
      <c r="E6" s="5" t="s">
        <v>27</v>
      </c>
      <c r="F6" s="5" t="s">
        <v>28</v>
      </c>
      <c r="G6" s="5" t="s">
        <v>29</v>
      </c>
      <c r="H6" s="5"/>
      <c r="I6" s="11">
        <v>5</v>
      </c>
      <c r="J6" s="12" t="s">
        <v>212</v>
      </c>
    </row>
    <row r="7" spans="1:10" x14ac:dyDescent="0.3">
      <c r="A7" s="4" t="s">
        <v>7</v>
      </c>
      <c r="B7" s="9" t="s">
        <v>33</v>
      </c>
      <c r="C7" s="5" t="s">
        <v>34</v>
      </c>
      <c r="D7" s="5" t="s">
        <v>35</v>
      </c>
      <c r="E7" s="5" t="s">
        <v>11</v>
      </c>
      <c r="F7" s="5" t="s">
        <v>28</v>
      </c>
      <c r="G7" s="5" t="s">
        <v>29</v>
      </c>
      <c r="H7" s="5"/>
      <c r="I7" s="5"/>
    </row>
    <row r="8" spans="1:10" x14ac:dyDescent="0.3">
      <c r="A8" s="3" t="s">
        <v>7</v>
      </c>
      <c r="B8" s="17" t="s">
        <v>213</v>
      </c>
      <c r="C8" s="5" t="s">
        <v>200</v>
      </c>
      <c r="D8" s="5" t="s">
        <v>203</v>
      </c>
      <c r="E8" s="5" t="s">
        <v>202</v>
      </c>
      <c r="F8" s="5"/>
      <c r="G8" s="5"/>
      <c r="H8" s="5"/>
      <c r="I8" s="5"/>
    </row>
    <row r="9" spans="1:10" x14ac:dyDescent="0.3">
      <c r="A9" s="21">
        <v>1</v>
      </c>
      <c r="B9" s="6" t="s">
        <v>36</v>
      </c>
      <c r="C9" s="5" t="s">
        <v>37</v>
      </c>
      <c r="D9" s="5" t="s">
        <v>20</v>
      </c>
      <c r="E9" s="5" t="s">
        <v>11</v>
      </c>
      <c r="F9" s="5" t="s">
        <v>28</v>
      </c>
      <c r="G9" s="5" t="s">
        <v>29</v>
      </c>
      <c r="H9" s="5"/>
      <c r="I9" s="5"/>
    </row>
    <row r="10" spans="1:10" x14ac:dyDescent="0.3">
      <c r="A10" s="21">
        <v>1</v>
      </c>
      <c r="B10" s="15" t="s">
        <v>38</v>
      </c>
      <c r="C10" s="5" t="s">
        <v>39</v>
      </c>
      <c r="D10" s="5" t="s">
        <v>20</v>
      </c>
      <c r="E10" s="5" t="s">
        <v>11</v>
      </c>
      <c r="F10" s="5" t="s">
        <v>40</v>
      </c>
      <c r="G10" s="5" t="s">
        <v>13</v>
      </c>
      <c r="H10" s="5"/>
      <c r="I10" s="5"/>
    </row>
    <row r="11" spans="1:10" x14ac:dyDescent="0.3">
      <c r="A11" s="21">
        <v>1</v>
      </c>
      <c r="B11" s="15" t="s">
        <v>41</v>
      </c>
      <c r="C11" s="5" t="s">
        <v>42</v>
      </c>
      <c r="D11" s="5" t="s">
        <v>43</v>
      </c>
      <c r="E11" s="5" t="s">
        <v>11</v>
      </c>
      <c r="F11" s="5" t="s">
        <v>28</v>
      </c>
      <c r="G11" s="5" t="s">
        <v>44</v>
      </c>
      <c r="H11" s="5"/>
      <c r="I11" s="5"/>
    </row>
    <row r="12" spans="1:10" x14ac:dyDescent="0.3">
      <c r="A12" s="21">
        <v>1</v>
      </c>
      <c r="B12" s="6" t="s">
        <v>45</v>
      </c>
      <c r="C12" s="5" t="s">
        <v>46</v>
      </c>
      <c r="D12" s="5" t="s">
        <v>47</v>
      </c>
      <c r="E12" s="5" t="s">
        <v>11</v>
      </c>
      <c r="F12" s="5" t="s">
        <v>28</v>
      </c>
      <c r="G12" s="5" t="s">
        <v>48</v>
      </c>
      <c r="H12" s="5"/>
      <c r="I12" s="5"/>
    </row>
    <row r="13" spans="1:10" x14ac:dyDescent="0.3">
      <c r="A13" s="21">
        <v>1</v>
      </c>
      <c r="B13" s="24" t="s">
        <v>49</v>
      </c>
      <c r="C13" s="5" t="s">
        <v>50</v>
      </c>
      <c r="D13" s="5" t="s">
        <v>51</v>
      </c>
      <c r="E13" s="5" t="s">
        <v>11</v>
      </c>
      <c r="F13" s="5" t="s">
        <v>52</v>
      </c>
      <c r="G13" s="5" t="s">
        <v>53</v>
      </c>
      <c r="H13" s="5"/>
      <c r="I13" s="5"/>
    </row>
    <row r="14" spans="1:10" x14ac:dyDescent="0.3">
      <c r="A14" s="21">
        <v>1</v>
      </c>
      <c r="B14" s="24" t="s">
        <v>54</v>
      </c>
      <c r="C14" s="5" t="s">
        <v>55</v>
      </c>
      <c r="D14" s="5" t="s">
        <v>43</v>
      </c>
      <c r="E14" s="5" t="s">
        <v>11</v>
      </c>
      <c r="F14" s="5" t="s">
        <v>56</v>
      </c>
      <c r="G14" s="5" t="s">
        <v>53</v>
      </c>
      <c r="H14" s="5"/>
      <c r="I14" s="5"/>
    </row>
    <row r="15" spans="1:10" x14ac:dyDescent="0.3">
      <c r="A15" s="21">
        <v>1</v>
      </c>
      <c r="B15" s="5" t="s">
        <v>57</v>
      </c>
      <c r="C15" s="5" t="s">
        <v>58</v>
      </c>
      <c r="D15" s="5" t="s">
        <v>59</v>
      </c>
      <c r="E15" s="5" t="s">
        <v>11</v>
      </c>
      <c r="F15" s="5" t="s">
        <v>60</v>
      </c>
      <c r="G15" s="5" t="s">
        <v>13</v>
      </c>
      <c r="H15" s="5"/>
      <c r="I15" s="5"/>
    </row>
    <row r="16" spans="1:10" x14ac:dyDescent="0.3">
      <c r="A16" s="21">
        <v>1</v>
      </c>
      <c r="B16" s="5" t="s">
        <v>61</v>
      </c>
      <c r="C16" s="5" t="s">
        <v>62</v>
      </c>
      <c r="D16" s="5" t="s">
        <v>20</v>
      </c>
      <c r="E16" s="5" t="s">
        <v>11</v>
      </c>
      <c r="F16" s="5" t="s">
        <v>28</v>
      </c>
      <c r="G16" s="5" t="s">
        <v>29</v>
      </c>
      <c r="H16" s="5"/>
      <c r="I16" s="5"/>
    </row>
    <row r="17" spans="1:9" x14ac:dyDescent="0.3">
      <c r="A17" s="22">
        <v>2</v>
      </c>
      <c r="B17" s="15" t="s">
        <v>204</v>
      </c>
      <c r="C17" s="5" t="s">
        <v>205</v>
      </c>
      <c r="D17" s="5"/>
      <c r="E17" s="5" t="s">
        <v>201</v>
      </c>
      <c r="F17" s="5" t="s">
        <v>206</v>
      </c>
      <c r="G17" s="5"/>
      <c r="H17" s="5"/>
      <c r="I17" s="5"/>
    </row>
    <row r="18" spans="1:9" x14ac:dyDescent="0.3">
      <c r="A18" s="22">
        <v>2</v>
      </c>
      <c r="B18" s="7" t="s">
        <v>63</v>
      </c>
      <c r="C18" s="5" t="s">
        <v>64</v>
      </c>
      <c r="D18" s="5" t="s">
        <v>65</v>
      </c>
      <c r="E18" s="5" t="s">
        <v>11</v>
      </c>
      <c r="F18" s="5" t="s">
        <v>66</v>
      </c>
      <c r="G18" s="5" t="s">
        <v>53</v>
      </c>
      <c r="H18" s="5"/>
      <c r="I18" s="5"/>
    </row>
    <row r="19" spans="1:9" x14ac:dyDescent="0.3">
      <c r="A19" s="22">
        <v>2</v>
      </c>
      <c r="B19" s="15" t="s">
        <v>67</v>
      </c>
      <c r="C19" s="5" t="s">
        <v>68</v>
      </c>
      <c r="D19" s="5" t="s">
        <v>69</v>
      </c>
      <c r="E19" s="5" t="s">
        <v>11</v>
      </c>
      <c r="F19" s="5" t="s">
        <v>60</v>
      </c>
      <c r="G19" s="5" t="s">
        <v>13</v>
      </c>
      <c r="H19" s="5"/>
      <c r="I19" s="5"/>
    </row>
    <row r="20" spans="1:9" x14ac:dyDescent="0.3">
      <c r="A20" s="22">
        <v>2</v>
      </c>
      <c r="B20" s="5" t="s">
        <v>70</v>
      </c>
      <c r="C20" s="5" t="s">
        <v>71</v>
      </c>
      <c r="D20" s="5" t="s">
        <v>20</v>
      </c>
      <c r="E20" s="5" t="s">
        <v>21</v>
      </c>
      <c r="F20" s="5" t="s">
        <v>28</v>
      </c>
      <c r="G20" s="5" t="s">
        <v>29</v>
      </c>
      <c r="H20" s="5"/>
      <c r="I20" s="5"/>
    </row>
    <row r="21" spans="1:9" x14ac:dyDescent="0.3">
      <c r="A21" s="22">
        <v>2</v>
      </c>
      <c r="B21" s="19" t="s">
        <v>72</v>
      </c>
      <c r="C21" s="5" t="s">
        <v>73</v>
      </c>
      <c r="D21" s="5" t="s">
        <v>74</v>
      </c>
      <c r="E21" s="5" t="s">
        <v>11</v>
      </c>
      <c r="F21" s="5" t="s">
        <v>75</v>
      </c>
      <c r="G21" s="5" t="s">
        <v>13</v>
      </c>
      <c r="H21" s="5"/>
      <c r="I21" s="5"/>
    </row>
    <row r="22" spans="1:9" x14ac:dyDescent="0.3">
      <c r="A22" s="22">
        <v>2</v>
      </c>
      <c r="B22" s="15" t="s">
        <v>76</v>
      </c>
      <c r="C22" s="5" t="s">
        <v>77</v>
      </c>
      <c r="D22" s="5" t="s">
        <v>78</v>
      </c>
      <c r="E22" s="5" t="s">
        <v>11</v>
      </c>
      <c r="F22" s="5" t="s">
        <v>28</v>
      </c>
      <c r="G22" s="5" t="s">
        <v>29</v>
      </c>
      <c r="H22" s="5"/>
      <c r="I22" s="5"/>
    </row>
    <row r="23" spans="1:9" x14ac:dyDescent="0.3">
      <c r="A23" s="22">
        <v>2</v>
      </c>
      <c r="B23" s="7" t="s">
        <v>79</v>
      </c>
      <c r="C23" s="5" t="s">
        <v>80</v>
      </c>
      <c r="D23" s="5" t="s">
        <v>81</v>
      </c>
      <c r="E23" s="5" t="s">
        <v>11</v>
      </c>
      <c r="F23" s="5" t="s">
        <v>28</v>
      </c>
      <c r="G23" s="5" t="s">
        <v>29</v>
      </c>
      <c r="H23" s="5"/>
      <c r="I23" s="5"/>
    </row>
    <row r="24" spans="1:9" x14ac:dyDescent="0.3">
      <c r="A24" s="22">
        <v>2</v>
      </c>
      <c r="B24" s="7" t="s">
        <v>82</v>
      </c>
      <c r="C24" s="5" t="s">
        <v>83</v>
      </c>
      <c r="D24" s="5" t="s">
        <v>20</v>
      </c>
      <c r="E24" s="5" t="s">
        <v>21</v>
      </c>
      <c r="F24" s="5" t="s">
        <v>40</v>
      </c>
      <c r="G24" s="5" t="s">
        <v>13</v>
      </c>
      <c r="H24" s="5"/>
      <c r="I24" s="5"/>
    </row>
    <row r="25" spans="1:9" x14ac:dyDescent="0.3">
      <c r="A25" s="22">
        <v>2</v>
      </c>
      <c r="B25" s="5" t="s">
        <v>84</v>
      </c>
      <c r="C25" s="5" t="s">
        <v>85</v>
      </c>
      <c r="D25" s="5" t="s">
        <v>86</v>
      </c>
      <c r="E25" s="5" t="s">
        <v>11</v>
      </c>
      <c r="F25" s="5" t="s">
        <v>28</v>
      </c>
      <c r="G25" s="5" t="s">
        <v>87</v>
      </c>
      <c r="H25" s="5"/>
      <c r="I25" s="5"/>
    </row>
    <row r="26" spans="1:9" x14ac:dyDescent="0.3">
      <c r="A26" s="4">
        <v>3</v>
      </c>
      <c r="B26" s="19" t="s">
        <v>88</v>
      </c>
      <c r="C26" s="15" t="s">
        <v>89</v>
      </c>
      <c r="D26" s="15" t="s">
        <v>90</v>
      </c>
      <c r="E26" s="15" t="s">
        <v>91</v>
      </c>
      <c r="F26" s="15" t="s">
        <v>28</v>
      </c>
      <c r="G26" s="15" t="s">
        <v>92</v>
      </c>
      <c r="H26" s="15"/>
      <c r="I26" s="15"/>
    </row>
    <row r="27" spans="1:9" x14ac:dyDescent="0.3">
      <c r="A27" s="4">
        <v>3</v>
      </c>
      <c r="B27" s="15" t="s">
        <v>93</v>
      </c>
      <c r="C27" s="15" t="s">
        <v>94</v>
      </c>
      <c r="D27" s="15" t="s">
        <v>95</v>
      </c>
      <c r="E27" s="15" t="s">
        <v>11</v>
      </c>
      <c r="F27" s="15" t="s">
        <v>60</v>
      </c>
      <c r="G27" s="15" t="s">
        <v>13</v>
      </c>
      <c r="H27" s="15"/>
      <c r="I27" s="15"/>
    </row>
    <row r="28" spans="1:9" x14ac:dyDescent="0.3">
      <c r="A28" s="4">
        <v>3</v>
      </c>
      <c r="B28" s="15" t="s">
        <v>96</v>
      </c>
      <c r="C28" s="15" t="s">
        <v>97</v>
      </c>
      <c r="D28" s="15" t="s">
        <v>98</v>
      </c>
      <c r="E28" s="15" t="s">
        <v>99</v>
      </c>
      <c r="F28" s="15" t="s">
        <v>28</v>
      </c>
      <c r="G28" s="15" t="s">
        <v>29</v>
      </c>
      <c r="H28" s="15"/>
      <c r="I28" s="15"/>
    </row>
    <row r="29" spans="1:9" x14ac:dyDescent="0.3">
      <c r="A29" s="4">
        <v>3</v>
      </c>
      <c r="B29" s="15" t="s">
        <v>100</v>
      </c>
      <c r="C29" s="15" t="s">
        <v>101</v>
      </c>
      <c r="D29" s="15" t="s">
        <v>102</v>
      </c>
      <c r="E29" s="15" t="s">
        <v>103</v>
      </c>
      <c r="F29" s="15" t="s">
        <v>28</v>
      </c>
      <c r="G29" s="15" t="s">
        <v>29</v>
      </c>
      <c r="H29" s="15"/>
      <c r="I29" s="15"/>
    </row>
    <row r="30" spans="1:9" x14ac:dyDescent="0.3">
      <c r="A30" s="4">
        <v>3</v>
      </c>
      <c r="B30" s="15" t="s">
        <v>104</v>
      </c>
      <c r="C30" s="15" t="s">
        <v>105</v>
      </c>
      <c r="D30" s="15" t="s">
        <v>106</v>
      </c>
      <c r="E30" s="15" t="s">
        <v>21</v>
      </c>
      <c r="F30" s="15" t="s">
        <v>28</v>
      </c>
      <c r="G30" s="15" t="s">
        <v>29</v>
      </c>
      <c r="H30" s="15"/>
      <c r="I30" s="15"/>
    </row>
    <row r="31" spans="1:9" x14ac:dyDescent="0.3">
      <c r="A31" s="4">
        <v>3</v>
      </c>
      <c r="B31" s="16" t="s">
        <v>107</v>
      </c>
      <c r="C31" s="15" t="s">
        <v>108</v>
      </c>
      <c r="D31" s="15" t="s">
        <v>109</v>
      </c>
      <c r="E31" s="15" t="s">
        <v>11</v>
      </c>
      <c r="F31" s="15" t="s">
        <v>110</v>
      </c>
      <c r="G31" s="15" t="s">
        <v>111</v>
      </c>
      <c r="H31" s="15"/>
      <c r="I31" s="15"/>
    </row>
    <row r="32" spans="1:9" x14ac:dyDescent="0.3">
      <c r="A32" s="4">
        <v>3</v>
      </c>
      <c r="B32" s="15" t="s">
        <v>112</v>
      </c>
      <c r="C32" s="15" t="s">
        <v>113</v>
      </c>
      <c r="D32" s="15" t="s">
        <v>114</v>
      </c>
      <c r="E32" s="15" t="s">
        <v>99</v>
      </c>
      <c r="F32" s="15" t="s">
        <v>28</v>
      </c>
      <c r="G32" s="15" t="s">
        <v>29</v>
      </c>
      <c r="H32" s="15"/>
      <c r="I32" s="15"/>
    </row>
    <row r="33" spans="1:9" x14ac:dyDescent="0.3">
      <c r="A33" s="4">
        <v>3</v>
      </c>
      <c r="B33" s="15" t="s">
        <v>115</v>
      </c>
      <c r="C33" s="15" t="s">
        <v>116</v>
      </c>
      <c r="D33" s="15" t="s">
        <v>117</v>
      </c>
      <c r="E33" s="15" t="s">
        <v>11</v>
      </c>
      <c r="F33" s="15" t="s">
        <v>118</v>
      </c>
      <c r="G33" s="15" t="s">
        <v>13</v>
      </c>
      <c r="H33" s="15"/>
      <c r="I33" s="15"/>
    </row>
    <row r="34" spans="1:9" x14ac:dyDescent="0.3">
      <c r="A34" s="4">
        <v>3</v>
      </c>
      <c r="B34" s="15" t="s">
        <v>119</v>
      </c>
      <c r="C34" s="15" t="s">
        <v>120</v>
      </c>
      <c r="D34" s="15" t="s">
        <v>121</v>
      </c>
      <c r="E34" s="15" t="s">
        <v>11</v>
      </c>
      <c r="F34" s="15" t="s">
        <v>28</v>
      </c>
      <c r="G34" s="15" t="s">
        <v>48</v>
      </c>
      <c r="H34" s="15"/>
      <c r="I34" s="15"/>
    </row>
    <row r="35" spans="1:9" x14ac:dyDescent="0.3">
      <c r="A35" s="4">
        <v>3</v>
      </c>
      <c r="B35" s="15" t="s">
        <v>122</v>
      </c>
      <c r="C35" s="15" t="s">
        <v>123</v>
      </c>
      <c r="D35" s="15" t="s">
        <v>20</v>
      </c>
      <c r="E35" s="15" t="s">
        <v>11</v>
      </c>
      <c r="F35" s="15" t="s">
        <v>28</v>
      </c>
      <c r="G35" s="15" t="s">
        <v>29</v>
      </c>
      <c r="H35" s="15"/>
      <c r="I35" s="15"/>
    </row>
    <row r="36" spans="1:9" x14ac:dyDescent="0.3">
      <c r="A36" s="4">
        <v>3</v>
      </c>
      <c r="B36" s="15" t="s">
        <v>124</v>
      </c>
      <c r="C36" s="15" t="s">
        <v>125</v>
      </c>
      <c r="D36" s="15" t="s">
        <v>126</v>
      </c>
      <c r="E36" s="15" t="s">
        <v>91</v>
      </c>
      <c r="F36" s="15" t="s">
        <v>28</v>
      </c>
      <c r="G36" s="15" t="s">
        <v>29</v>
      </c>
      <c r="H36" s="15"/>
      <c r="I36" s="15"/>
    </row>
    <row r="37" spans="1:9" x14ac:dyDescent="0.3">
      <c r="A37" s="4">
        <v>3</v>
      </c>
      <c r="B37" s="15" t="s">
        <v>127</v>
      </c>
      <c r="C37" s="15" t="s">
        <v>128</v>
      </c>
      <c r="D37" s="15" t="s">
        <v>129</v>
      </c>
      <c r="E37" s="15" t="s">
        <v>91</v>
      </c>
      <c r="F37" s="15" t="s">
        <v>28</v>
      </c>
      <c r="G37" s="15" t="s">
        <v>29</v>
      </c>
      <c r="H37" s="15"/>
      <c r="I37" s="15"/>
    </row>
    <row r="38" spans="1:9" x14ac:dyDescent="0.3">
      <c r="A38" s="4">
        <v>3</v>
      </c>
      <c r="B38" s="15" t="s">
        <v>130</v>
      </c>
      <c r="C38" s="15" t="s">
        <v>131</v>
      </c>
      <c r="D38" s="15" t="s">
        <v>132</v>
      </c>
      <c r="E38" s="15" t="s">
        <v>27</v>
      </c>
      <c r="F38" s="15" t="s">
        <v>28</v>
      </c>
      <c r="G38" s="15" t="s">
        <v>29</v>
      </c>
      <c r="H38" s="15"/>
      <c r="I38" s="15"/>
    </row>
    <row r="39" spans="1:9" x14ac:dyDescent="0.3">
      <c r="A39" s="4">
        <v>3</v>
      </c>
      <c r="B39" s="15" t="s">
        <v>133</v>
      </c>
      <c r="C39" s="15" t="s">
        <v>134</v>
      </c>
      <c r="D39" s="15" t="s">
        <v>135</v>
      </c>
      <c r="E39" s="15" t="s">
        <v>27</v>
      </c>
      <c r="F39" s="15" t="s">
        <v>28</v>
      </c>
      <c r="G39" s="15" t="s">
        <v>29</v>
      </c>
      <c r="H39" s="15"/>
      <c r="I39" s="15"/>
    </row>
    <row r="40" spans="1:9" x14ac:dyDescent="0.3">
      <c r="A40" s="4">
        <v>3</v>
      </c>
      <c r="B40" s="16" t="s">
        <v>136</v>
      </c>
      <c r="C40" s="15" t="s">
        <v>137</v>
      </c>
      <c r="D40" s="15" t="s">
        <v>20</v>
      </c>
      <c r="E40" s="15" t="s">
        <v>11</v>
      </c>
      <c r="F40" s="15" t="s">
        <v>60</v>
      </c>
      <c r="G40" s="15" t="s">
        <v>13</v>
      </c>
      <c r="H40" s="15"/>
      <c r="I40" s="15"/>
    </row>
    <row r="41" spans="1:9" x14ac:dyDescent="0.3">
      <c r="A41" s="4">
        <v>3</v>
      </c>
      <c r="B41" s="16" t="s">
        <v>138</v>
      </c>
      <c r="C41" s="15" t="s">
        <v>139</v>
      </c>
      <c r="D41" s="15" t="s">
        <v>140</v>
      </c>
      <c r="E41" s="15" t="s">
        <v>27</v>
      </c>
      <c r="F41" s="15" t="s">
        <v>28</v>
      </c>
      <c r="G41" s="15" t="s">
        <v>29</v>
      </c>
      <c r="H41" s="15"/>
      <c r="I41" s="15"/>
    </row>
    <row r="42" spans="1:9" x14ac:dyDescent="0.3">
      <c r="A42" s="23">
        <v>4</v>
      </c>
      <c r="B42" s="15" t="s">
        <v>141</v>
      </c>
      <c r="C42" s="15" t="s">
        <v>142</v>
      </c>
      <c r="D42" s="15" t="s">
        <v>20</v>
      </c>
      <c r="E42" s="15" t="s">
        <v>11</v>
      </c>
      <c r="F42" s="15" t="s">
        <v>40</v>
      </c>
      <c r="G42" s="15" t="s">
        <v>13</v>
      </c>
      <c r="H42" s="15"/>
      <c r="I42" s="15"/>
    </row>
    <row r="43" spans="1:9" x14ac:dyDescent="0.3">
      <c r="A43" s="23">
        <v>4</v>
      </c>
      <c r="B43" s="15" t="s">
        <v>143</v>
      </c>
      <c r="C43" s="15" t="s">
        <v>144</v>
      </c>
      <c r="D43" s="15" t="s">
        <v>145</v>
      </c>
      <c r="E43" s="15" t="s">
        <v>21</v>
      </c>
      <c r="F43" s="15" t="s">
        <v>28</v>
      </c>
      <c r="G43" s="15" t="s">
        <v>29</v>
      </c>
      <c r="H43" s="15"/>
      <c r="I43" s="15"/>
    </row>
    <row r="44" spans="1:9" x14ac:dyDescent="0.3">
      <c r="A44" s="23">
        <v>4</v>
      </c>
      <c r="B44" s="15" t="s">
        <v>146</v>
      </c>
      <c r="C44" s="15" t="s">
        <v>147</v>
      </c>
      <c r="D44" s="15" t="s">
        <v>148</v>
      </c>
      <c r="E44" s="15" t="s">
        <v>11</v>
      </c>
      <c r="F44" s="15" t="s">
        <v>28</v>
      </c>
      <c r="G44" s="15" t="s">
        <v>29</v>
      </c>
      <c r="H44" s="15"/>
      <c r="I44" s="15"/>
    </row>
    <row r="45" spans="1:9" x14ac:dyDescent="0.3">
      <c r="A45" s="23">
        <v>4</v>
      </c>
      <c r="B45" s="15" t="s">
        <v>149</v>
      </c>
      <c r="C45" s="15" t="s">
        <v>150</v>
      </c>
      <c r="D45" s="15" t="s">
        <v>151</v>
      </c>
      <c r="E45" s="15" t="s">
        <v>27</v>
      </c>
      <c r="F45" s="15" t="s">
        <v>28</v>
      </c>
      <c r="G45" s="15" t="s">
        <v>29</v>
      </c>
      <c r="H45" s="15"/>
      <c r="I45" s="15"/>
    </row>
    <row r="46" spans="1:9" x14ac:dyDescent="0.3">
      <c r="A46" s="23">
        <v>4</v>
      </c>
      <c r="B46" s="15" t="s">
        <v>152</v>
      </c>
      <c r="C46" s="15" t="s">
        <v>153</v>
      </c>
      <c r="D46" s="15" t="s">
        <v>154</v>
      </c>
      <c r="E46" s="15" t="s">
        <v>11</v>
      </c>
      <c r="F46" s="15" t="s">
        <v>28</v>
      </c>
      <c r="G46" s="15" t="s">
        <v>29</v>
      </c>
      <c r="H46" s="15"/>
      <c r="I46" s="15"/>
    </row>
    <row r="47" spans="1:9" x14ac:dyDescent="0.3">
      <c r="A47" s="23">
        <v>4</v>
      </c>
      <c r="B47" s="15" t="s">
        <v>155</v>
      </c>
      <c r="C47" s="15" t="s">
        <v>156</v>
      </c>
      <c r="D47" s="15" t="s">
        <v>157</v>
      </c>
      <c r="E47" s="15" t="s">
        <v>11</v>
      </c>
      <c r="F47" s="15" t="s">
        <v>158</v>
      </c>
      <c r="G47" s="15" t="s">
        <v>13</v>
      </c>
      <c r="H47" s="15"/>
      <c r="I47" s="15"/>
    </row>
    <row r="48" spans="1:9" x14ac:dyDescent="0.3">
      <c r="A48" s="23">
        <v>4</v>
      </c>
      <c r="B48" s="15" t="s">
        <v>159</v>
      </c>
      <c r="C48" s="15" t="s">
        <v>160</v>
      </c>
      <c r="D48" s="15" t="s">
        <v>161</v>
      </c>
      <c r="E48" s="15" t="s">
        <v>162</v>
      </c>
      <c r="F48" s="15" t="s">
        <v>28</v>
      </c>
      <c r="G48" s="15" t="s">
        <v>29</v>
      </c>
      <c r="H48" s="15"/>
      <c r="I48" s="15"/>
    </row>
    <row r="49" spans="1:9" x14ac:dyDescent="0.3">
      <c r="A49" s="23">
        <v>4</v>
      </c>
      <c r="B49" s="15" t="s">
        <v>163</v>
      </c>
      <c r="C49" s="15" t="s">
        <v>164</v>
      </c>
      <c r="D49" s="15" t="s">
        <v>165</v>
      </c>
      <c r="E49" s="15" t="s">
        <v>99</v>
      </c>
      <c r="F49" s="15" t="s">
        <v>28</v>
      </c>
      <c r="G49" s="15" t="s">
        <v>29</v>
      </c>
      <c r="H49" s="15"/>
      <c r="I49" s="15"/>
    </row>
    <row r="50" spans="1:9" x14ac:dyDescent="0.3">
      <c r="A50" s="3">
        <v>5</v>
      </c>
      <c r="B50" s="8" t="s">
        <v>166</v>
      </c>
      <c r="C50" s="8" t="s">
        <v>167</v>
      </c>
      <c r="D50" s="8" t="s">
        <v>168</v>
      </c>
      <c r="E50" s="8" t="s">
        <v>27</v>
      </c>
      <c r="F50" s="8" t="s">
        <v>28</v>
      </c>
      <c r="G50" s="8" t="s">
        <v>29</v>
      </c>
      <c r="H50" s="8"/>
      <c r="I50" s="8"/>
    </row>
    <row r="51" spans="1:9" x14ac:dyDescent="0.3">
      <c r="A51" s="3">
        <v>5</v>
      </c>
      <c r="B51" s="8" t="s">
        <v>169</v>
      </c>
      <c r="C51" s="8" t="s">
        <v>170</v>
      </c>
      <c r="D51" s="8" t="s">
        <v>171</v>
      </c>
      <c r="E51" s="8" t="s">
        <v>11</v>
      </c>
      <c r="F51" s="8" t="s">
        <v>172</v>
      </c>
      <c r="G51" s="8" t="s">
        <v>13</v>
      </c>
      <c r="H51" s="8"/>
      <c r="I51" s="8"/>
    </row>
    <row r="52" spans="1:9" x14ac:dyDescent="0.3">
      <c r="A52" s="3">
        <v>5</v>
      </c>
      <c r="B52" s="8" t="s">
        <v>173</v>
      </c>
      <c r="C52" s="8" t="s">
        <v>174</v>
      </c>
      <c r="D52" s="8" t="s">
        <v>20</v>
      </c>
      <c r="E52" s="8" t="s">
        <v>11</v>
      </c>
      <c r="F52" s="8" t="s">
        <v>118</v>
      </c>
      <c r="G52" s="8" t="s">
        <v>13</v>
      </c>
      <c r="H52" s="8"/>
      <c r="I52" s="8"/>
    </row>
    <row r="53" spans="1:9" x14ac:dyDescent="0.3">
      <c r="A53" s="3">
        <v>5</v>
      </c>
      <c r="B53" s="8" t="s">
        <v>175</v>
      </c>
      <c r="C53" s="8" t="s">
        <v>176</v>
      </c>
      <c r="D53" s="8" t="s">
        <v>177</v>
      </c>
      <c r="E53" s="8" t="s">
        <v>11</v>
      </c>
      <c r="F53" s="8" t="s">
        <v>158</v>
      </c>
      <c r="G53" s="8" t="s">
        <v>13</v>
      </c>
      <c r="H53" s="8"/>
      <c r="I53" s="8"/>
    </row>
    <row r="54" spans="1:9" x14ac:dyDescent="0.3">
      <c r="A54" s="3">
        <v>5</v>
      </c>
      <c r="B54" s="8" t="s">
        <v>178</v>
      </c>
      <c r="C54" s="8" t="s">
        <v>179</v>
      </c>
      <c r="D54" s="8" t="s">
        <v>180</v>
      </c>
      <c r="E54" s="8" t="s">
        <v>21</v>
      </c>
      <c r="F54" s="8" t="s">
        <v>60</v>
      </c>
      <c r="G54" s="8" t="s">
        <v>13</v>
      </c>
      <c r="H54" s="8"/>
      <c r="I54" s="8"/>
    </row>
    <row r="55" spans="1:9" x14ac:dyDescent="0.3">
      <c r="A55" s="3">
        <v>5</v>
      </c>
      <c r="B55" s="8" t="s">
        <v>181</v>
      </c>
      <c r="C55" s="8" t="s">
        <v>182</v>
      </c>
      <c r="D55" s="8" t="s">
        <v>183</v>
      </c>
      <c r="E55" s="8" t="s">
        <v>11</v>
      </c>
      <c r="F55" s="8" t="s">
        <v>28</v>
      </c>
      <c r="G55" s="8" t="s">
        <v>29</v>
      </c>
      <c r="H55" s="8"/>
      <c r="I55" s="8"/>
    </row>
    <row r="56" spans="1:9" x14ac:dyDescent="0.3">
      <c r="A56" s="3">
        <v>5</v>
      </c>
      <c r="B56" s="8" t="s">
        <v>184</v>
      </c>
      <c r="C56" s="8" t="s">
        <v>185</v>
      </c>
      <c r="D56" s="8" t="s">
        <v>186</v>
      </c>
      <c r="E56" s="8" t="s">
        <v>21</v>
      </c>
      <c r="F56" s="8" t="s">
        <v>28</v>
      </c>
      <c r="G56" s="8" t="s">
        <v>29</v>
      </c>
      <c r="H56" s="8"/>
      <c r="I56" s="8"/>
    </row>
    <row r="57" spans="1:9" x14ac:dyDescent="0.3">
      <c r="A57" s="3">
        <v>5</v>
      </c>
      <c r="B57" s="8" t="s">
        <v>187</v>
      </c>
      <c r="C57" s="8" t="s">
        <v>188</v>
      </c>
      <c r="D57" s="8" t="s">
        <v>20</v>
      </c>
      <c r="E57" s="8" t="s">
        <v>11</v>
      </c>
      <c r="F57" s="8" t="s">
        <v>75</v>
      </c>
      <c r="G57" s="8" t="s">
        <v>13</v>
      </c>
      <c r="H57" s="8"/>
      <c r="I57" s="8"/>
    </row>
    <row r="58" spans="1:9" x14ac:dyDescent="0.3">
      <c r="A58" s="3">
        <v>5</v>
      </c>
      <c r="B58" s="8" t="s">
        <v>189</v>
      </c>
      <c r="C58" s="8" t="s">
        <v>190</v>
      </c>
      <c r="D58" s="8" t="s">
        <v>183</v>
      </c>
      <c r="E58" s="8" t="s">
        <v>27</v>
      </c>
      <c r="F58" s="8" t="s">
        <v>28</v>
      </c>
      <c r="G58" s="8" t="s">
        <v>29</v>
      </c>
      <c r="H58" s="8"/>
      <c r="I58" s="8"/>
    </row>
    <row r="59" spans="1:9" x14ac:dyDescent="0.3">
      <c r="A59" s="3">
        <v>5</v>
      </c>
      <c r="B59" s="8" t="s">
        <v>191</v>
      </c>
      <c r="C59" s="8" t="s">
        <v>192</v>
      </c>
      <c r="D59" s="8" t="s">
        <v>193</v>
      </c>
      <c r="E59" s="8" t="s">
        <v>11</v>
      </c>
      <c r="F59" s="8" t="s">
        <v>28</v>
      </c>
      <c r="G59" s="8" t="s">
        <v>194</v>
      </c>
      <c r="H59" s="8"/>
      <c r="I59" s="8"/>
    </row>
    <row r="60" spans="1:9" x14ac:dyDescent="0.3">
      <c r="A60" s="3">
        <v>5</v>
      </c>
      <c r="B60" s="8" t="s">
        <v>195</v>
      </c>
      <c r="C60" s="8" t="s">
        <v>196</v>
      </c>
      <c r="D60" s="8" t="s">
        <v>197</v>
      </c>
      <c r="E60" s="8" t="s">
        <v>21</v>
      </c>
      <c r="F60" s="8" t="s">
        <v>28</v>
      </c>
      <c r="G60" s="8" t="s">
        <v>29</v>
      </c>
      <c r="H60" s="8"/>
      <c r="I60" s="8"/>
    </row>
    <row r="61" spans="1:9" x14ac:dyDescent="0.3">
      <c r="A61" s="3">
        <v>5</v>
      </c>
      <c r="B61" s="8" t="s">
        <v>198</v>
      </c>
      <c r="C61" s="8" t="s">
        <v>199</v>
      </c>
      <c r="D61" s="8" t="s">
        <v>20</v>
      </c>
      <c r="E61" s="8" t="s">
        <v>99</v>
      </c>
      <c r="F61" s="8" t="s">
        <v>17</v>
      </c>
      <c r="G61" s="8" t="s">
        <v>13</v>
      </c>
      <c r="H61" s="8"/>
      <c r="I61" s="8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A0E24-634F-4403-A234-636DEE4D8E06}">
  <sheetPr filterMode="1"/>
  <dimension ref="A1:U62"/>
  <sheetViews>
    <sheetView tabSelected="1" topLeftCell="A25" workbookViewId="0">
      <selection activeCell="F63" sqref="F63"/>
    </sheetView>
  </sheetViews>
  <sheetFormatPr defaultRowHeight="14.4" x14ac:dyDescent="0.3"/>
  <cols>
    <col min="2" max="2" width="17.33203125" customWidth="1"/>
    <col min="3" max="3" width="0.33203125" customWidth="1"/>
    <col min="4" max="4" width="12" customWidth="1"/>
    <col min="5" max="5" width="11.88671875" customWidth="1"/>
    <col min="6" max="6" width="10.33203125" customWidth="1"/>
    <col min="7" max="8" width="0" hidden="1" customWidth="1"/>
    <col min="9" max="9" width="29.44140625" style="25" customWidth="1"/>
    <col min="11" max="11" width="16.88671875" customWidth="1"/>
    <col min="12" max="12" width="10.5546875" customWidth="1"/>
    <col min="13" max="13" width="15.109375" customWidth="1"/>
    <col min="15" max="15" width="13.44140625" customWidth="1"/>
    <col min="16" max="16" width="17.6640625" bestFit="1" customWidth="1"/>
    <col min="17" max="17" width="10" customWidth="1"/>
    <col min="21" max="21" width="10.44140625" customWidth="1"/>
  </cols>
  <sheetData>
    <row r="1" spans="1:21" ht="17.399999999999999" customHeight="1" thickTop="1" thickBot="1" x14ac:dyDescent="0.35">
      <c r="A1" s="29" t="s">
        <v>214</v>
      </c>
      <c r="B1" s="29" t="s">
        <v>215</v>
      </c>
      <c r="C1" s="29" t="s">
        <v>262</v>
      </c>
      <c r="D1" s="29" t="s">
        <v>216</v>
      </c>
      <c r="E1" s="27" t="s">
        <v>217</v>
      </c>
      <c r="F1" s="29" t="s">
        <v>218</v>
      </c>
      <c r="G1" s="29" t="s">
        <v>223</v>
      </c>
      <c r="H1" s="27" t="s">
        <v>6</v>
      </c>
      <c r="I1" s="29" t="s">
        <v>226</v>
      </c>
      <c r="J1" s="27" t="s">
        <v>227</v>
      </c>
      <c r="K1" s="29" t="s">
        <v>228</v>
      </c>
      <c r="L1" s="29" t="s">
        <v>229</v>
      </c>
      <c r="M1" s="30" t="s">
        <v>230</v>
      </c>
      <c r="O1" s="49" t="s">
        <v>240</v>
      </c>
      <c r="P1" s="50" t="s">
        <v>239</v>
      </c>
      <c r="Q1" s="50">
        <v>1</v>
      </c>
      <c r="R1" s="50">
        <v>2</v>
      </c>
      <c r="S1" s="50">
        <v>3</v>
      </c>
      <c r="T1" s="50">
        <v>4</v>
      </c>
      <c r="U1" s="50">
        <v>5</v>
      </c>
    </row>
    <row r="2" spans="1:21" ht="30" thickTop="1" thickBot="1" x14ac:dyDescent="0.35">
      <c r="A2" s="55" t="s">
        <v>7</v>
      </c>
      <c r="B2" s="51" t="s">
        <v>270</v>
      </c>
      <c r="C2" t="s">
        <v>260</v>
      </c>
      <c r="D2" s="26" t="s">
        <v>9</v>
      </c>
      <c r="E2" s="26" t="s">
        <v>10</v>
      </c>
      <c r="F2" s="26" t="s">
        <v>219</v>
      </c>
      <c r="G2" s="26" t="s">
        <v>225</v>
      </c>
      <c r="H2" s="26" t="s">
        <v>13</v>
      </c>
      <c r="I2" s="31" t="str">
        <f>G2 &amp; " (" &amp; H2 &amp; ")"</f>
        <v>Salvación DEX del objetivo ( (CD de tus conjuros)</v>
      </c>
      <c r="J2" s="26" t="s">
        <v>232</v>
      </c>
      <c r="K2" s="28" t="s">
        <v>219</v>
      </c>
      <c r="L2" s="28" t="s">
        <v>221</v>
      </c>
      <c r="M2" s="26" t="s">
        <v>248</v>
      </c>
      <c r="O2" s="42">
        <v>1</v>
      </c>
      <c r="P2" s="43" t="s">
        <v>224</v>
      </c>
      <c r="Q2" s="44" t="s">
        <v>224</v>
      </c>
      <c r="R2" s="45" t="s">
        <v>224</v>
      </c>
      <c r="S2" s="46" t="s">
        <v>224</v>
      </c>
      <c r="T2" s="47" t="s">
        <v>224</v>
      </c>
      <c r="U2" s="48" t="s">
        <v>224</v>
      </c>
    </row>
    <row r="3" spans="1:21" ht="30" thickTop="1" thickBot="1" x14ac:dyDescent="0.35">
      <c r="A3" s="55" t="s">
        <v>7</v>
      </c>
      <c r="B3" s="51" t="s">
        <v>271</v>
      </c>
      <c r="C3" t="s">
        <v>260</v>
      </c>
      <c r="D3" s="26" t="s">
        <v>15</v>
      </c>
      <c r="E3" s="26" t="s">
        <v>16</v>
      </c>
      <c r="F3" s="26" t="s">
        <v>219</v>
      </c>
      <c r="G3" s="26" t="s">
        <v>17</v>
      </c>
      <c r="H3" s="26" t="s">
        <v>13</v>
      </c>
      <c r="I3" s="31" t="str">
        <f t="shared" ref="I3:I61" si="0">G3 &amp; " (" &amp; H3 &amp; ")"</f>
        <v>Salvación WIS del objetivo (CD de tus conjuros)</v>
      </c>
      <c r="J3" s="26" t="s">
        <v>232</v>
      </c>
      <c r="K3" s="28" t="s">
        <v>219</v>
      </c>
      <c r="L3" s="28" t="s">
        <v>221</v>
      </c>
      <c r="M3" s="26" t="s">
        <v>248</v>
      </c>
      <c r="O3" s="42">
        <v>2</v>
      </c>
      <c r="P3" s="43">
        <f>SUM(Q3:U3)</f>
        <v>5</v>
      </c>
      <c r="Q3" s="44">
        <v>3</v>
      </c>
      <c r="R3" s="45">
        <v>2</v>
      </c>
      <c r="S3" s="46"/>
      <c r="T3" s="47"/>
      <c r="U3" s="48"/>
    </row>
    <row r="4" spans="1:21" ht="30" thickTop="1" thickBot="1" x14ac:dyDescent="0.35">
      <c r="A4" s="55" t="s">
        <v>7</v>
      </c>
      <c r="B4" s="57" t="s">
        <v>272</v>
      </c>
      <c r="C4" t="s">
        <v>263</v>
      </c>
      <c r="D4" s="26" t="s">
        <v>19</v>
      </c>
      <c r="E4" s="26" t="s">
        <v>20</v>
      </c>
      <c r="F4" s="26" t="s">
        <v>220</v>
      </c>
      <c r="G4" s="26" t="s">
        <v>22</v>
      </c>
      <c r="H4" s="26" t="s">
        <v>23</v>
      </c>
      <c r="I4" s="31" t="str">
        <f t="shared" si="0"/>
        <v>Sin tirada de ataque (Se aplica a habilidad)</v>
      </c>
      <c r="J4" s="26" t="s">
        <v>236</v>
      </c>
      <c r="K4" s="28" t="s">
        <v>221</v>
      </c>
      <c r="L4" s="28" t="s">
        <v>221</v>
      </c>
      <c r="M4" s="26" t="s">
        <v>249</v>
      </c>
      <c r="O4" s="42">
        <v>3</v>
      </c>
      <c r="P4" s="43">
        <f t="shared" ref="P4:P6" si="1">SUM(Q4:U4)</f>
        <v>6</v>
      </c>
      <c r="Q4" s="44">
        <v>4</v>
      </c>
      <c r="R4" s="45">
        <v>2</v>
      </c>
      <c r="S4" s="46"/>
      <c r="T4" s="47"/>
      <c r="U4" s="48"/>
    </row>
    <row r="5" spans="1:21" ht="19.2" thickTop="1" thickBot="1" x14ac:dyDescent="0.35">
      <c r="A5" s="55" t="s">
        <v>7</v>
      </c>
      <c r="B5" s="57" t="s">
        <v>273</v>
      </c>
      <c r="C5" t="s">
        <v>264</v>
      </c>
      <c r="D5" s="26" t="s">
        <v>25</v>
      </c>
      <c r="E5" s="26" t="s">
        <v>26</v>
      </c>
      <c r="F5" s="26" t="s">
        <v>221</v>
      </c>
      <c r="G5" s="26" t="s">
        <v>224</v>
      </c>
      <c r="H5" s="26" t="s">
        <v>29</v>
      </c>
      <c r="I5" s="31" t="str">
        <f t="shared" si="0"/>
        <v>- (Automático)</v>
      </c>
      <c r="J5" s="26" t="s">
        <v>236</v>
      </c>
      <c r="K5" s="28" t="s">
        <v>219</v>
      </c>
      <c r="L5" s="28" t="s">
        <v>221</v>
      </c>
      <c r="M5" s="26" t="s">
        <v>237</v>
      </c>
      <c r="O5" s="42">
        <v>4</v>
      </c>
      <c r="P5" s="43">
        <f t="shared" si="1"/>
        <v>0</v>
      </c>
      <c r="Q5" s="37" t="s">
        <v>241</v>
      </c>
      <c r="R5" s="38" t="s">
        <v>241</v>
      </c>
      <c r="S5" s="39" t="s">
        <v>241</v>
      </c>
      <c r="T5" s="40" t="s">
        <v>241</v>
      </c>
      <c r="U5" s="41" t="s">
        <v>241</v>
      </c>
    </row>
    <row r="6" spans="1:21" ht="19.2" thickTop="1" thickBot="1" x14ac:dyDescent="0.35">
      <c r="A6" s="55" t="s">
        <v>7</v>
      </c>
      <c r="B6" s="57" t="s">
        <v>274</v>
      </c>
      <c r="C6" t="s">
        <v>264</v>
      </c>
      <c r="D6" s="26" t="s">
        <v>31</v>
      </c>
      <c r="E6" s="26" t="s">
        <v>32</v>
      </c>
      <c r="F6" s="26" t="s">
        <v>222</v>
      </c>
      <c r="G6" s="26" t="s">
        <v>224</v>
      </c>
      <c r="H6" s="26" t="s">
        <v>29</v>
      </c>
      <c r="I6" s="31" t="str">
        <f t="shared" si="0"/>
        <v>- (Automático)</v>
      </c>
      <c r="J6" s="26" t="s">
        <v>242</v>
      </c>
      <c r="K6" s="28" t="s">
        <v>219</v>
      </c>
      <c r="L6" s="28" t="s">
        <v>221</v>
      </c>
      <c r="M6" s="26" t="s">
        <v>249</v>
      </c>
      <c r="O6" s="42">
        <v>5</v>
      </c>
      <c r="P6" s="43">
        <f t="shared" si="1"/>
        <v>9</v>
      </c>
      <c r="Q6" s="44">
        <v>4</v>
      </c>
      <c r="R6" s="45">
        <v>3</v>
      </c>
      <c r="S6" s="46">
        <v>2</v>
      </c>
      <c r="T6" s="47"/>
      <c r="U6" s="48"/>
    </row>
    <row r="7" spans="1:21" ht="15.6" thickTop="1" thickBot="1" x14ac:dyDescent="0.35">
      <c r="A7" s="55" t="s">
        <v>7</v>
      </c>
      <c r="B7" s="56" t="s">
        <v>275</v>
      </c>
      <c r="C7" t="s">
        <v>265</v>
      </c>
      <c r="D7" s="26" t="s">
        <v>34</v>
      </c>
      <c r="E7" s="26" t="s">
        <v>35</v>
      </c>
      <c r="F7" s="26" t="s">
        <v>219</v>
      </c>
      <c r="G7" s="26" t="s">
        <v>224</v>
      </c>
      <c r="H7" s="26" t="s">
        <v>29</v>
      </c>
      <c r="I7" s="31" t="str">
        <f t="shared" si="0"/>
        <v>- (Automático)</v>
      </c>
      <c r="J7" s="26" t="s">
        <v>236</v>
      </c>
      <c r="K7" s="28" t="s">
        <v>219</v>
      </c>
      <c r="L7" s="28" t="s">
        <v>221</v>
      </c>
      <c r="M7" s="26" t="s">
        <v>248</v>
      </c>
    </row>
    <row r="8" spans="1:21" ht="15.6" thickTop="1" thickBot="1" x14ac:dyDescent="0.35">
      <c r="A8" s="55" t="s">
        <v>7</v>
      </c>
      <c r="B8" s="57" t="s">
        <v>276</v>
      </c>
      <c r="C8" t="s">
        <v>263</v>
      </c>
      <c r="D8" s="26" t="s">
        <v>200</v>
      </c>
      <c r="E8" s="26" t="s">
        <v>203</v>
      </c>
      <c r="F8" s="26" t="s">
        <v>219</v>
      </c>
      <c r="G8" s="26" t="s">
        <v>224</v>
      </c>
      <c r="H8" s="26"/>
      <c r="I8" s="31" t="str">
        <f t="shared" si="0"/>
        <v>- ()</v>
      </c>
      <c r="J8" s="26" t="s">
        <v>236</v>
      </c>
      <c r="K8" s="28" t="s">
        <v>219</v>
      </c>
      <c r="L8" s="28" t="s">
        <v>221</v>
      </c>
      <c r="M8" s="26" t="s">
        <v>250</v>
      </c>
    </row>
    <row r="9" spans="1:21" ht="15.6" thickTop="1" thickBot="1" x14ac:dyDescent="0.35">
      <c r="A9" s="32">
        <v>1</v>
      </c>
      <c r="B9" s="57" t="s">
        <v>277</v>
      </c>
      <c r="C9" t="s">
        <v>263</v>
      </c>
      <c r="D9" s="26" t="s">
        <v>37</v>
      </c>
      <c r="E9" s="26" t="s">
        <v>20</v>
      </c>
      <c r="F9" s="26" t="s">
        <v>219</v>
      </c>
      <c r="G9" s="26" t="s">
        <v>224</v>
      </c>
      <c r="H9" s="26" t="s">
        <v>29</v>
      </c>
      <c r="I9" s="31" t="str">
        <f t="shared" si="0"/>
        <v>- (Automático)</v>
      </c>
      <c r="J9" s="26" t="s">
        <v>242</v>
      </c>
      <c r="K9" s="28" t="s">
        <v>221</v>
      </c>
      <c r="L9" s="28" t="s">
        <v>221</v>
      </c>
      <c r="M9" s="26" t="s">
        <v>249</v>
      </c>
      <c r="O9" s="27" t="s">
        <v>258</v>
      </c>
      <c r="P9" s="29" t="s">
        <v>259</v>
      </c>
    </row>
    <row r="10" spans="1:21" ht="18.600000000000001" customHeight="1" thickTop="1" thickBot="1" x14ac:dyDescent="0.35">
      <c r="A10" s="32">
        <v>1</v>
      </c>
      <c r="B10" s="58" t="s">
        <v>278</v>
      </c>
      <c r="C10" t="s">
        <v>266</v>
      </c>
      <c r="D10" s="26" t="s">
        <v>39</v>
      </c>
      <c r="E10" s="26" t="s">
        <v>20</v>
      </c>
      <c r="F10" s="26" t="s">
        <v>219</v>
      </c>
      <c r="G10" s="26" t="s">
        <v>40</v>
      </c>
      <c r="H10" s="26" t="s">
        <v>13</v>
      </c>
      <c r="I10" s="31" t="str">
        <f t="shared" si="0"/>
        <v>Salvación CHA (CD de tus conjuros)</v>
      </c>
      <c r="J10" s="26" t="s">
        <v>242</v>
      </c>
      <c r="K10" s="28" t="s">
        <v>221</v>
      </c>
      <c r="L10" s="28" t="s">
        <v>221</v>
      </c>
      <c r="M10" s="26" t="s">
        <v>249</v>
      </c>
      <c r="O10" s="27" t="s">
        <v>260</v>
      </c>
      <c r="P10" s="51"/>
    </row>
    <row r="11" spans="1:21" ht="15.6" thickTop="1" thickBot="1" x14ac:dyDescent="0.35">
      <c r="A11" s="32">
        <v>1</v>
      </c>
      <c r="B11" s="56" t="s">
        <v>279</v>
      </c>
      <c r="C11" t="s">
        <v>265</v>
      </c>
      <c r="D11" s="26" t="s">
        <v>42</v>
      </c>
      <c r="E11" s="26" t="s">
        <v>43</v>
      </c>
      <c r="F11" s="26" t="s">
        <v>219</v>
      </c>
      <c r="G11" s="26" t="s">
        <v>224</v>
      </c>
      <c r="H11" s="26" t="s">
        <v>44</v>
      </c>
      <c r="I11" s="31" t="str">
        <f t="shared" si="0"/>
        <v>- (1d8 + SAB)</v>
      </c>
      <c r="J11" s="26" t="s">
        <v>236</v>
      </c>
      <c r="K11" s="28" t="s">
        <v>219</v>
      </c>
      <c r="L11" s="28" t="s">
        <v>221</v>
      </c>
      <c r="M11" s="26" t="s">
        <v>248</v>
      </c>
      <c r="O11" s="27" t="s">
        <v>261</v>
      </c>
      <c r="P11" s="52"/>
    </row>
    <row r="12" spans="1:21" ht="15.6" thickTop="1" thickBot="1" x14ac:dyDescent="0.35">
      <c r="A12" s="32">
        <v>1</v>
      </c>
      <c r="B12" s="56" t="s">
        <v>280</v>
      </c>
      <c r="C12" t="s">
        <v>265</v>
      </c>
      <c r="D12" s="26" t="s">
        <v>46</v>
      </c>
      <c r="E12" s="26" t="s">
        <v>47</v>
      </c>
      <c r="F12" s="26" t="s">
        <v>219</v>
      </c>
      <c r="G12" s="26" t="s">
        <v>224</v>
      </c>
      <c r="H12" s="26" t="s">
        <v>48</v>
      </c>
      <c r="I12" s="31" t="str">
        <f t="shared" si="0"/>
        <v>- (1d4 + SAB)</v>
      </c>
      <c r="J12" s="26" t="s">
        <v>232</v>
      </c>
      <c r="K12" s="28" t="s">
        <v>219</v>
      </c>
      <c r="L12" s="28" t="s">
        <v>221</v>
      </c>
      <c r="M12" s="26" t="s">
        <v>248</v>
      </c>
      <c r="O12" s="27" t="s">
        <v>268</v>
      </c>
      <c r="P12" s="56"/>
    </row>
    <row r="13" spans="1:21" ht="14.4" customHeight="1" thickTop="1" thickBot="1" x14ac:dyDescent="0.35">
      <c r="A13" s="32">
        <v>1</v>
      </c>
      <c r="B13" s="51" t="s">
        <v>281</v>
      </c>
      <c r="C13" t="s">
        <v>260</v>
      </c>
      <c r="D13" s="26" t="s">
        <v>50</v>
      </c>
      <c r="E13" s="26" t="s">
        <v>51</v>
      </c>
      <c r="F13" s="26" t="s">
        <v>219</v>
      </c>
      <c r="G13" s="26" t="s">
        <v>52</v>
      </c>
      <c r="H13" s="26" t="s">
        <v>53</v>
      </c>
      <c r="I13" s="31" t="str">
        <f t="shared" si="0"/>
        <v>Ataque de conjuro a distancia (d20 + SAB + competencia)</v>
      </c>
      <c r="J13" s="26" t="s">
        <v>235</v>
      </c>
      <c r="K13" s="28" t="s">
        <v>219</v>
      </c>
      <c r="L13" s="28" t="s">
        <v>221</v>
      </c>
      <c r="M13" s="26" t="s">
        <v>248</v>
      </c>
      <c r="O13" s="27" t="s">
        <v>269</v>
      </c>
      <c r="P13" s="53"/>
    </row>
    <row r="14" spans="1:21" ht="16.2" customHeight="1" thickTop="1" thickBot="1" x14ac:dyDescent="0.35">
      <c r="A14" s="32">
        <v>1</v>
      </c>
      <c r="B14" s="51" t="s">
        <v>282</v>
      </c>
      <c r="C14" t="s">
        <v>260</v>
      </c>
      <c r="D14" s="26" t="s">
        <v>55</v>
      </c>
      <c r="E14" s="26" t="s">
        <v>43</v>
      </c>
      <c r="F14" s="26" t="s">
        <v>219</v>
      </c>
      <c r="G14" s="26" t="s">
        <v>56</v>
      </c>
      <c r="H14" s="26" t="s">
        <v>53</v>
      </c>
      <c r="I14" s="31" t="str">
        <f t="shared" si="0"/>
        <v>Ataque de conjuro cuerpo a cuerpo (d20 + SAB + competencia)</v>
      </c>
      <c r="J14" s="26" t="s">
        <v>236</v>
      </c>
      <c r="K14" s="28" t="s">
        <v>219</v>
      </c>
      <c r="L14" s="28" t="s">
        <v>221</v>
      </c>
      <c r="M14" s="26" t="s">
        <v>248</v>
      </c>
      <c r="O14" s="27" t="s">
        <v>266</v>
      </c>
      <c r="P14" s="58"/>
    </row>
    <row r="15" spans="1:21" ht="15.6" thickTop="1" thickBot="1" x14ac:dyDescent="0.35">
      <c r="A15" s="32">
        <v>1</v>
      </c>
      <c r="B15" s="58" t="s">
        <v>283</v>
      </c>
      <c r="C15" t="s">
        <v>266</v>
      </c>
      <c r="D15" s="26" t="s">
        <v>58</v>
      </c>
      <c r="E15" s="26" t="s">
        <v>59</v>
      </c>
      <c r="F15" s="26" t="s">
        <v>219</v>
      </c>
      <c r="G15" s="26" t="s">
        <v>60</v>
      </c>
      <c r="H15" s="26" t="s">
        <v>13</v>
      </c>
      <c r="I15" s="31" t="str">
        <f t="shared" si="0"/>
        <v>Salvación WIS (CD de tus conjuros)</v>
      </c>
      <c r="J15" s="26" t="s">
        <v>242</v>
      </c>
      <c r="K15" s="28" t="s">
        <v>219</v>
      </c>
      <c r="L15" s="28" t="s">
        <v>221</v>
      </c>
      <c r="M15" s="26" t="s">
        <v>231</v>
      </c>
    </row>
    <row r="16" spans="1:21" ht="15.6" thickTop="1" thickBot="1" x14ac:dyDescent="0.35">
      <c r="A16" s="32">
        <v>1</v>
      </c>
      <c r="B16" s="56" t="s">
        <v>284</v>
      </c>
      <c r="C16" t="s">
        <v>263</v>
      </c>
      <c r="D16" s="26" t="s">
        <v>62</v>
      </c>
      <c r="E16" s="26" t="s">
        <v>20</v>
      </c>
      <c r="F16" s="26" t="s">
        <v>219</v>
      </c>
      <c r="G16" s="26" t="s">
        <v>224</v>
      </c>
      <c r="H16" s="26" t="s">
        <v>29</v>
      </c>
      <c r="I16" s="31" t="str">
        <f t="shared" si="0"/>
        <v>- (Automático)</v>
      </c>
      <c r="J16" s="26" t="s">
        <v>232</v>
      </c>
      <c r="K16" s="28" t="s">
        <v>221</v>
      </c>
      <c r="L16" s="28" t="s">
        <v>221</v>
      </c>
      <c r="M16" s="26" t="s">
        <v>251</v>
      </c>
    </row>
    <row r="17" spans="1:13" ht="15.6" thickTop="1" thickBot="1" x14ac:dyDescent="0.35">
      <c r="A17" s="33">
        <v>2</v>
      </c>
      <c r="B17" s="54" t="s">
        <v>285</v>
      </c>
      <c r="C17" t="s">
        <v>267</v>
      </c>
      <c r="D17" s="26" t="s">
        <v>205</v>
      </c>
      <c r="E17" s="26"/>
      <c r="F17" s="26" t="s">
        <v>219</v>
      </c>
      <c r="G17" s="26" t="s">
        <v>224</v>
      </c>
      <c r="H17" s="26"/>
      <c r="I17" s="31" t="str">
        <f t="shared" si="0"/>
        <v>- ()</v>
      </c>
      <c r="J17" s="26" t="s">
        <v>233</v>
      </c>
      <c r="K17" s="28" t="s">
        <v>219</v>
      </c>
      <c r="L17" s="28" t="s">
        <v>221</v>
      </c>
      <c r="M17" s="26" t="s">
        <v>237</v>
      </c>
    </row>
    <row r="18" spans="1:13" ht="30" thickTop="1" thickBot="1" x14ac:dyDescent="0.35">
      <c r="A18" s="33">
        <v>2</v>
      </c>
      <c r="B18" s="51" t="s">
        <v>286</v>
      </c>
      <c r="C18" t="s">
        <v>260</v>
      </c>
      <c r="D18" s="26" t="s">
        <v>64</v>
      </c>
      <c r="E18" s="26" t="s">
        <v>65</v>
      </c>
      <c r="F18" s="26" t="s">
        <v>219</v>
      </c>
      <c r="G18" s="26" t="s">
        <v>66</v>
      </c>
      <c r="H18" s="26" t="s">
        <v>53</v>
      </c>
      <c r="I18" s="31" t="str">
        <f t="shared" si="0"/>
        <v>Ataque de conjuro (d20 + SAB + competencia)</v>
      </c>
      <c r="J18" s="26" t="s">
        <v>232</v>
      </c>
      <c r="K18" s="28" t="s">
        <v>219</v>
      </c>
      <c r="L18" s="28" t="s">
        <v>221</v>
      </c>
      <c r="M18" s="26" t="s">
        <v>231</v>
      </c>
    </row>
    <row r="19" spans="1:13" ht="15.6" thickTop="1" thickBot="1" x14ac:dyDescent="0.35">
      <c r="A19" s="33">
        <v>2</v>
      </c>
      <c r="B19" s="58" t="s">
        <v>287</v>
      </c>
      <c r="C19" t="s">
        <v>266</v>
      </c>
      <c r="D19" s="26" t="s">
        <v>68</v>
      </c>
      <c r="E19" s="26" t="s">
        <v>69</v>
      </c>
      <c r="F19" s="26" t="s">
        <v>219</v>
      </c>
      <c r="G19" s="26" t="s">
        <v>60</v>
      </c>
      <c r="H19" s="26" t="s">
        <v>13</v>
      </c>
      <c r="I19" s="31" t="str">
        <f t="shared" si="0"/>
        <v>Salvación WIS (CD de tus conjuros)</v>
      </c>
      <c r="J19" s="26" t="s">
        <v>232</v>
      </c>
      <c r="K19" s="28" t="s">
        <v>221</v>
      </c>
      <c r="L19" s="28" t="s">
        <v>221</v>
      </c>
      <c r="M19" s="26" t="s">
        <v>249</v>
      </c>
    </row>
    <row r="20" spans="1:13" ht="15.6" thickTop="1" thickBot="1" x14ac:dyDescent="0.35">
      <c r="A20" s="33">
        <v>2</v>
      </c>
      <c r="B20" s="58" t="s">
        <v>288</v>
      </c>
      <c r="C20" t="s">
        <v>266</v>
      </c>
      <c r="D20" s="26" t="s">
        <v>71</v>
      </c>
      <c r="E20" s="26" t="s">
        <v>20</v>
      </c>
      <c r="F20" s="26" t="s">
        <v>220</v>
      </c>
      <c r="G20" s="26" t="s">
        <v>224</v>
      </c>
      <c r="H20" s="26" t="s">
        <v>29</v>
      </c>
      <c r="I20" s="31" t="str">
        <f t="shared" si="0"/>
        <v>- (Automático)</v>
      </c>
      <c r="J20" s="26" t="s">
        <v>235</v>
      </c>
      <c r="K20" s="28" t="s">
        <v>221</v>
      </c>
      <c r="L20" s="28" t="s">
        <v>221</v>
      </c>
      <c r="M20" s="26" t="s">
        <v>251</v>
      </c>
    </row>
    <row r="21" spans="1:13" ht="30" thickTop="1" thickBot="1" x14ac:dyDescent="0.35">
      <c r="A21" s="33">
        <v>2</v>
      </c>
      <c r="B21" s="58" t="s">
        <v>309</v>
      </c>
      <c r="C21" t="s">
        <v>266</v>
      </c>
      <c r="D21" s="26" t="s">
        <v>73</v>
      </c>
      <c r="E21" s="26" t="s">
        <v>74</v>
      </c>
      <c r="F21" s="26" t="s">
        <v>219</v>
      </c>
      <c r="G21" s="26" t="s">
        <v>75</v>
      </c>
      <c r="H21" s="26" t="s">
        <v>13</v>
      </c>
      <c r="I21" s="31" t="str">
        <f t="shared" si="0"/>
        <v>Salvación CON (CD de tus conjuros)</v>
      </c>
      <c r="J21" s="26" t="s">
        <v>242</v>
      </c>
      <c r="K21" s="28" t="s">
        <v>219</v>
      </c>
      <c r="L21" s="28" t="s">
        <v>221</v>
      </c>
      <c r="M21" s="26" t="s">
        <v>231</v>
      </c>
    </row>
    <row r="22" spans="1:13" ht="15.6" thickTop="1" thickBot="1" x14ac:dyDescent="0.35">
      <c r="A22" s="33">
        <v>2</v>
      </c>
      <c r="B22" s="57" t="s">
        <v>289</v>
      </c>
      <c r="C22" t="s">
        <v>263</v>
      </c>
      <c r="D22" s="26" t="s">
        <v>77</v>
      </c>
      <c r="E22" s="26" t="s">
        <v>78</v>
      </c>
      <c r="F22" s="26" t="s">
        <v>219</v>
      </c>
      <c r="G22" s="26" t="s">
        <v>224</v>
      </c>
      <c r="H22" s="26" t="s">
        <v>29</v>
      </c>
      <c r="I22" s="31" t="str">
        <f t="shared" si="0"/>
        <v>- (Automático)</v>
      </c>
      <c r="J22" s="26" t="s">
        <v>242</v>
      </c>
      <c r="K22" s="28" t="s">
        <v>219</v>
      </c>
      <c r="L22" s="28" t="s">
        <v>221</v>
      </c>
      <c r="M22" s="26" t="s">
        <v>234</v>
      </c>
    </row>
    <row r="23" spans="1:13" ht="15.6" thickTop="1" thickBot="1" x14ac:dyDescent="0.35">
      <c r="A23" s="33">
        <v>2</v>
      </c>
      <c r="B23" s="56" t="s">
        <v>290</v>
      </c>
      <c r="C23" t="s">
        <v>265</v>
      </c>
      <c r="D23" s="26" t="s">
        <v>80</v>
      </c>
      <c r="E23" s="26" t="s">
        <v>81</v>
      </c>
      <c r="F23" s="26" t="s">
        <v>219</v>
      </c>
      <c r="G23" s="26" t="s">
        <v>224</v>
      </c>
      <c r="H23" s="26" t="s">
        <v>29</v>
      </c>
      <c r="I23" s="31" t="str">
        <f t="shared" si="0"/>
        <v>- (Automático)</v>
      </c>
      <c r="J23" s="26" t="s">
        <v>236</v>
      </c>
      <c r="K23" s="28" t="s">
        <v>219</v>
      </c>
      <c r="L23" s="28" t="s">
        <v>221</v>
      </c>
      <c r="M23" s="26" t="s">
        <v>248</v>
      </c>
    </row>
    <row r="24" spans="1:13" ht="30" thickTop="1" thickBot="1" x14ac:dyDescent="0.35">
      <c r="A24" s="33">
        <v>2</v>
      </c>
      <c r="B24" s="58" t="s">
        <v>291</v>
      </c>
      <c r="C24" t="s">
        <v>266</v>
      </c>
      <c r="D24" s="26" t="s">
        <v>83</v>
      </c>
      <c r="E24" s="26" t="s">
        <v>20</v>
      </c>
      <c r="F24" s="26" t="s">
        <v>220</v>
      </c>
      <c r="G24" s="26" t="s">
        <v>40</v>
      </c>
      <c r="H24" s="26" t="s">
        <v>13</v>
      </c>
      <c r="I24" s="31" t="str">
        <f t="shared" si="0"/>
        <v>Salvación CHA (CD de tus conjuros)</v>
      </c>
      <c r="J24" s="26" t="s">
        <v>232</v>
      </c>
      <c r="K24" s="28" t="s">
        <v>221</v>
      </c>
      <c r="L24" s="28" t="s">
        <v>221</v>
      </c>
      <c r="M24" s="26" t="s">
        <v>231</v>
      </c>
    </row>
    <row r="25" spans="1:13" ht="15.6" thickTop="1" thickBot="1" x14ac:dyDescent="0.35">
      <c r="A25" s="33">
        <v>2</v>
      </c>
      <c r="B25" s="56" t="s">
        <v>292</v>
      </c>
      <c r="C25" t="s">
        <v>265</v>
      </c>
      <c r="D25" s="26" t="s">
        <v>85</v>
      </c>
      <c r="E25" s="26" t="s">
        <v>86</v>
      </c>
      <c r="F25" s="26" t="s">
        <v>219</v>
      </c>
      <c r="G25" s="26" t="s">
        <v>224</v>
      </c>
      <c r="H25" s="26" t="s">
        <v>87</v>
      </c>
      <c r="I25" s="31" t="str">
        <f t="shared" si="0"/>
        <v>- (2d8 + SAB)</v>
      </c>
      <c r="J25" s="26" t="s">
        <v>242</v>
      </c>
      <c r="K25" s="28" t="s">
        <v>219</v>
      </c>
      <c r="L25" s="28" t="s">
        <v>221</v>
      </c>
      <c r="M25" s="26" t="s">
        <v>248</v>
      </c>
    </row>
    <row r="26" spans="1:13" ht="15.6" thickTop="1" thickBot="1" x14ac:dyDescent="0.35">
      <c r="A26" s="34">
        <v>3</v>
      </c>
      <c r="B26" s="58" t="s">
        <v>293</v>
      </c>
      <c r="C26" t="s">
        <v>266</v>
      </c>
      <c r="D26" s="26" t="s">
        <v>89</v>
      </c>
      <c r="E26" s="26" t="s">
        <v>90</v>
      </c>
      <c r="F26" s="26" t="s">
        <v>220</v>
      </c>
      <c r="G26" s="26" t="s">
        <v>224</v>
      </c>
      <c r="H26" s="26" t="s">
        <v>92</v>
      </c>
      <c r="I26" s="31" t="str">
        <f t="shared" si="0"/>
        <v>- (Automático al completar)</v>
      </c>
      <c r="J26" s="26" t="s">
        <v>243</v>
      </c>
      <c r="K26" s="28" t="s">
        <v>219</v>
      </c>
      <c r="L26" s="28" t="s">
        <v>221</v>
      </c>
      <c r="M26" s="26" t="s">
        <v>248</v>
      </c>
    </row>
    <row r="27" spans="1:13" ht="15.6" thickTop="1" thickBot="1" x14ac:dyDescent="0.35">
      <c r="A27" s="34">
        <v>3</v>
      </c>
      <c r="B27" s="58" t="s">
        <v>294</v>
      </c>
      <c r="C27" t="s">
        <v>266</v>
      </c>
      <c r="D27" s="26" t="s">
        <v>94</v>
      </c>
      <c r="E27" s="26" t="s">
        <v>95</v>
      </c>
      <c r="F27" s="26" t="s">
        <v>219</v>
      </c>
      <c r="G27" s="26" t="s">
        <v>60</v>
      </c>
      <c r="H27" s="26" t="s">
        <v>13</v>
      </c>
      <c r="I27" s="31" t="str">
        <f t="shared" si="0"/>
        <v>Salvación WIS (CD de tus conjuros)</v>
      </c>
      <c r="J27" s="26" t="s">
        <v>236</v>
      </c>
      <c r="K27" s="28" t="s">
        <v>221</v>
      </c>
      <c r="L27" s="28" t="s">
        <v>221</v>
      </c>
      <c r="M27" s="26" t="s">
        <v>252</v>
      </c>
    </row>
    <row r="28" spans="1:13" ht="15.6" thickTop="1" thickBot="1" x14ac:dyDescent="0.35">
      <c r="A28" s="34">
        <v>3</v>
      </c>
      <c r="B28" s="54" t="s">
        <v>295</v>
      </c>
      <c r="C28" t="s">
        <v>267</v>
      </c>
      <c r="D28" s="26" t="s">
        <v>97</v>
      </c>
      <c r="E28" s="26" t="s">
        <v>98</v>
      </c>
      <c r="F28" s="26" t="s">
        <v>220</v>
      </c>
      <c r="G28" s="26" t="s">
        <v>224</v>
      </c>
      <c r="H28" s="26" t="s">
        <v>29</v>
      </c>
      <c r="I28" s="31" t="str">
        <f t="shared" si="0"/>
        <v>- (Automático)</v>
      </c>
      <c r="J28" s="26" t="s">
        <v>244</v>
      </c>
      <c r="K28" s="28" t="s">
        <v>221</v>
      </c>
      <c r="L28" s="28" t="s">
        <v>221</v>
      </c>
      <c r="M28" s="26" t="s">
        <v>238</v>
      </c>
    </row>
    <row r="29" spans="1:13" ht="15.6" thickTop="1" thickBot="1" x14ac:dyDescent="0.35">
      <c r="A29" s="34">
        <v>3</v>
      </c>
      <c r="B29" s="57" t="s">
        <v>296</v>
      </c>
      <c r="C29" t="s">
        <v>263</v>
      </c>
      <c r="D29" s="26" t="s">
        <v>101</v>
      </c>
      <c r="E29" s="26" t="s">
        <v>102</v>
      </c>
      <c r="F29" s="26" t="s">
        <v>220</v>
      </c>
      <c r="G29" s="26" t="s">
        <v>224</v>
      </c>
      <c r="H29" s="26" t="s">
        <v>29</v>
      </c>
      <c r="I29" s="31" t="str">
        <f t="shared" si="0"/>
        <v>- (Automático)</v>
      </c>
      <c r="J29" s="26" t="s">
        <v>242</v>
      </c>
      <c r="K29" s="28" t="s">
        <v>219</v>
      </c>
      <c r="L29" s="28" t="s">
        <v>221</v>
      </c>
      <c r="M29" s="26" t="s">
        <v>248</v>
      </c>
    </row>
    <row r="30" spans="1:13" ht="15.6" thickTop="1" thickBot="1" x14ac:dyDescent="0.35">
      <c r="A30" s="34">
        <v>3</v>
      </c>
      <c r="B30" s="57" t="s">
        <v>297</v>
      </c>
      <c r="C30" t="s">
        <v>263</v>
      </c>
      <c r="D30" s="26" t="s">
        <v>105</v>
      </c>
      <c r="E30" s="26" t="s">
        <v>106</v>
      </c>
      <c r="F30" s="26" t="s">
        <v>220</v>
      </c>
      <c r="G30" s="26" t="s">
        <v>224</v>
      </c>
      <c r="H30" s="26" t="s">
        <v>29</v>
      </c>
      <c r="I30" s="31" t="str">
        <f t="shared" si="0"/>
        <v>- (Automático)</v>
      </c>
      <c r="J30" s="26" t="s">
        <v>232</v>
      </c>
      <c r="K30" s="28" t="s">
        <v>219</v>
      </c>
      <c r="L30" s="28" t="s">
        <v>221</v>
      </c>
      <c r="M30" s="26" t="s">
        <v>237</v>
      </c>
    </row>
    <row r="31" spans="1:13" ht="30" thickTop="1" thickBot="1" x14ac:dyDescent="0.35">
      <c r="A31" s="34">
        <v>3</v>
      </c>
      <c r="B31" s="58" t="s">
        <v>298</v>
      </c>
      <c r="C31" t="s">
        <v>266</v>
      </c>
      <c r="D31" s="26" t="s">
        <v>108</v>
      </c>
      <c r="E31" s="26" t="s">
        <v>109</v>
      </c>
      <c r="F31" s="26" t="s">
        <v>219</v>
      </c>
      <c r="G31" s="26" t="s">
        <v>110</v>
      </c>
      <c r="H31" s="26" t="s">
        <v>111</v>
      </c>
      <c r="I31" s="31" t="str">
        <f t="shared" si="0"/>
        <v>Prueba de característica (d20 + SAB vs CD 10 + nivel conjuro)</v>
      </c>
      <c r="J31" s="26" t="s">
        <v>235</v>
      </c>
      <c r="K31" s="28" t="s">
        <v>219</v>
      </c>
      <c r="L31" s="28" t="s">
        <v>221</v>
      </c>
      <c r="M31" s="26" t="s">
        <v>248</v>
      </c>
    </row>
    <row r="32" spans="1:13" ht="15.6" thickTop="1" thickBot="1" x14ac:dyDescent="0.35">
      <c r="A32" s="34">
        <v>3</v>
      </c>
      <c r="B32" s="58" t="s">
        <v>299</v>
      </c>
      <c r="C32" t="s">
        <v>266</v>
      </c>
      <c r="D32" s="26" t="s">
        <v>113</v>
      </c>
      <c r="E32" s="26" t="s">
        <v>114</v>
      </c>
      <c r="F32" s="26" t="s">
        <v>220</v>
      </c>
      <c r="G32" s="26" t="s">
        <v>224</v>
      </c>
      <c r="H32" s="26" t="s">
        <v>29</v>
      </c>
      <c r="I32" s="31" t="str">
        <f t="shared" si="0"/>
        <v>- (Automático)</v>
      </c>
      <c r="J32" s="26" t="s">
        <v>236</v>
      </c>
      <c r="K32" s="28" t="s">
        <v>219</v>
      </c>
      <c r="L32" s="28" t="s">
        <v>221</v>
      </c>
      <c r="M32" s="26" t="s">
        <v>237</v>
      </c>
    </row>
    <row r="33" spans="1:13" ht="30" thickTop="1" thickBot="1" x14ac:dyDescent="0.35">
      <c r="A33" s="34">
        <v>3</v>
      </c>
      <c r="B33" s="58" t="s">
        <v>300</v>
      </c>
      <c r="C33" t="s">
        <v>266</v>
      </c>
      <c r="D33" s="26" t="s">
        <v>116</v>
      </c>
      <c r="E33" s="26" t="s">
        <v>117</v>
      </c>
      <c r="F33" s="26" t="s">
        <v>219</v>
      </c>
      <c r="G33" s="26" t="s">
        <v>118</v>
      </c>
      <c r="H33" s="26" t="s">
        <v>13</v>
      </c>
      <c r="I33" s="31" t="str">
        <f t="shared" si="0"/>
        <v>Salvación según efecto (CD de tus conjuros)</v>
      </c>
      <c r="J33" s="26" t="s">
        <v>236</v>
      </c>
      <c r="K33" s="28" t="s">
        <v>219</v>
      </c>
      <c r="L33" s="28" t="s">
        <v>221</v>
      </c>
      <c r="M33" s="26" t="s">
        <v>253</v>
      </c>
    </row>
    <row r="34" spans="1:13" ht="15.6" thickTop="1" thickBot="1" x14ac:dyDescent="0.35">
      <c r="A34" s="34">
        <v>3</v>
      </c>
      <c r="B34" s="56" t="s">
        <v>301</v>
      </c>
      <c r="C34" t="s">
        <v>265</v>
      </c>
      <c r="D34" s="26" t="s">
        <v>120</v>
      </c>
      <c r="E34" s="26" t="s">
        <v>121</v>
      </c>
      <c r="F34" s="26" t="s">
        <v>219</v>
      </c>
      <c r="G34" s="26" t="s">
        <v>224</v>
      </c>
      <c r="H34" s="26" t="s">
        <v>48</v>
      </c>
      <c r="I34" s="31" t="str">
        <f t="shared" si="0"/>
        <v>- (1d4 + SAB)</v>
      </c>
      <c r="J34" s="26" t="s">
        <v>232</v>
      </c>
      <c r="K34" s="28" t="s">
        <v>219</v>
      </c>
      <c r="L34" s="28" t="s">
        <v>221</v>
      </c>
      <c r="M34" s="26" t="s">
        <v>248</v>
      </c>
    </row>
    <row r="35" spans="1:13" ht="15.6" thickTop="1" thickBot="1" x14ac:dyDescent="0.35">
      <c r="A35" s="34">
        <v>3</v>
      </c>
      <c r="B35" s="57" t="s">
        <v>302</v>
      </c>
      <c r="C35" t="s">
        <v>263</v>
      </c>
      <c r="D35" s="26" t="s">
        <v>123</v>
      </c>
      <c r="E35" s="26" t="s">
        <v>20</v>
      </c>
      <c r="F35" s="26" t="s">
        <v>219</v>
      </c>
      <c r="G35" s="26" t="s">
        <v>224</v>
      </c>
      <c r="H35" s="26" t="s">
        <v>29</v>
      </c>
      <c r="I35" s="31" t="str">
        <f t="shared" si="0"/>
        <v>- (Automático)</v>
      </c>
      <c r="J35" s="26" t="s">
        <v>236</v>
      </c>
      <c r="K35" s="28" t="s">
        <v>221</v>
      </c>
      <c r="L35" s="28" t="s">
        <v>221</v>
      </c>
      <c r="M35" s="26" t="s">
        <v>254</v>
      </c>
    </row>
    <row r="36" spans="1:13" ht="15.6" thickTop="1" thickBot="1" x14ac:dyDescent="0.35">
      <c r="A36" s="34">
        <v>3</v>
      </c>
      <c r="B36" s="58" t="s">
        <v>303</v>
      </c>
      <c r="C36" t="s">
        <v>266</v>
      </c>
      <c r="D36" s="26" t="s">
        <v>125</v>
      </c>
      <c r="E36" s="26" t="s">
        <v>126</v>
      </c>
      <c r="F36" s="26" t="s">
        <v>220</v>
      </c>
      <c r="G36" s="26" t="s">
        <v>224</v>
      </c>
      <c r="H36" s="26" t="s">
        <v>29</v>
      </c>
      <c r="I36" s="31" t="str">
        <f t="shared" si="0"/>
        <v>- (Automático)</v>
      </c>
      <c r="J36" s="26" t="s">
        <v>236</v>
      </c>
      <c r="K36" s="28" t="s">
        <v>219</v>
      </c>
      <c r="L36" s="28" t="s">
        <v>221</v>
      </c>
      <c r="M36" s="26" t="s">
        <v>248</v>
      </c>
    </row>
    <row r="37" spans="1:13" ht="15.6" thickTop="1" thickBot="1" x14ac:dyDescent="0.35">
      <c r="A37" s="34">
        <v>3</v>
      </c>
      <c r="B37" s="56" t="s">
        <v>304</v>
      </c>
      <c r="C37" t="s">
        <v>265</v>
      </c>
      <c r="D37" s="26" t="s">
        <v>128</v>
      </c>
      <c r="E37" s="26" t="s">
        <v>129</v>
      </c>
      <c r="F37" s="26" t="s">
        <v>220</v>
      </c>
      <c r="G37" s="26" t="s">
        <v>224</v>
      </c>
      <c r="H37" s="26" t="s">
        <v>29</v>
      </c>
      <c r="I37" s="31" t="str">
        <f t="shared" si="0"/>
        <v>- (Automático)</v>
      </c>
      <c r="J37" s="26" t="s">
        <v>236</v>
      </c>
      <c r="K37" s="28" t="s">
        <v>219</v>
      </c>
      <c r="L37" s="28" t="s">
        <v>221</v>
      </c>
      <c r="M37" s="26" t="s">
        <v>248</v>
      </c>
    </row>
    <row r="38" spans="1:13" ht="15.6" thickTop="1" thickBot="1" x14ac:dyDescent="0.35">
      <c r="A38" s="34">
        <v>3</v>
      </c>
      <c r="B38" s="57" t="s">
        <v>308</v>
      </c>
      <c r="C38" t="s">
        <v>263</v>
      </c>
      <c r="D38" s="26" t="s">
        <v>131</v>
      </c>
      <c r="E38" s="26" t="s">
        <v>132</v>
      </c>
      <c r="F38" s="26" t="s">
        <v>221</v>
      </c>
      <c r="G38" s="26" t="s">
        <v>224</v>
      </c>
      <c r="H38" s="26" t="s">
        <v>29</v>
      </c>
      <c r="I38" s="31" t="str">
        <f t="shared" si="0"/>
        <v>- (Automático)</v>
      </c>
      <c r="J38" s="26" t="s">
        <v>245</v>
      </c>
      <c r="K38" s="28" t="s">
        <v>219</v>
      </c>
      <c r="L38" s="28" t="s">
        <v>221</v>
      </c>
      <c r="M38" s="26" t="s">
        <v>231</v>
      </c>
    </row>
    <row r="39" spans="1:13" ht="15.6" thickTop="1" thickBot="1" x14ac:dyDescent="0.35">
      <c r="A39" s="34">
        <v>3</v>
      </c>
      <c r="B39" s="54" t="s">
        <v>305</v>
      </c>
      <c r="C39" t="s">
        <v>267</v>
      </c>
      <c r="D39" s="26" t="s">
        <v>134</v>
      </c>
      <c r="E39" s="26" t="s">
        <v>135</v>
      </c>
      <c r="F39" s="26" t="s">
        <v>221</v>
      </c>
      <c r="G39" s="26" t="s">
        <v>224</v>
      </c>
      <c r="H39" s="26" t="s">
        <v>29</v>
      </c>
      <c r="I39" s="31" t="str">
        <f t="shared" si="0"/>
        <v>- (Automático)</v>
      </c>
      <c r="J39" s="26" t="s">
        <v>243</v>
      </c>
      <c r="K39" s="28" t="s">
        <v>219</v>
      </c>
      <c r="L39" s="28" t="s">
        <v>221</v>
      </c>
      <c r="M39" s="26" t="s">
        <v>238</v>
      </c>
    </row>
    <row r="40" spans="1:13" ht="15.6" thickTop="1" thickBot="1" x14ac:dyDescent="0.35">
      <c r="A40" s="34">
        <v>3</v>
      </c>
      <c r="B40" s="58" t="s">
        <v>306</v>
      </c>
      <c r="C40" t="s">
        <v>266</v>
      </c>
      <c r="D40" s="26" t="s">
        <v>137</v>
      </c>
      <c r="E40" s="26" t="s">
        <v>20</v>
      </c>
      <c r="F40" s="26" t="s">
        <v>219</v>
      </c>
      <c r="G40" s="26" t="s">
        <v>60</v>
      </c>
      <c r="H40" s="26" t="s">
        <v>13</v>
      </c>
      <c r="I40" s="31" t="str">
        <f t="shared" si="0"/>
        <v>Salvación WIS (CD de tus conjuros)</v>
      </c>
      <c r="J40" s="26" t="s">
        <v>246</v>
      </c>
      <c r="K40" s="28" t="s">
        <v>221</v>
      </c>
      <c r="L40" s="28" t="s">
        <v>221</v>
      </c>
      <c r="M40" s="26" t="s">
        <v>251</v>
      </c>
    </row>
    <row r="41" spans="1:13" ht="15.6" thickTop="1" thickBot="1" x14ac:dyDescent="0.35">
      <c r="A41" s="34">
        <v>3</v>
      </c>
      <c r="B41" s="57" t="s">
        <v>307</v>
      </c>
      <c r="C41" t="s">
        <v>263</v>
      </c>
      <c r="D41" s="26" t="s">
        <v>139</v>
      </c>
      <c r="E41" s="26" t="s">
        <v>140</v>
      </c>
      <c r="F41" s="26" t="s">
        <v>221</v>
      </c>
      <c r="G41" s="26" t="s">
        <v>224</v>
      </c>
      <c r="H41" s="26" t="s">
        <v>29</v>
      </c>
      <c r="I41" s="31" t="str">
        <f t="shared" si="0"/>
        <v>- (Automático)</v>
      </c>
      <c r="J41" s="26" t="s">
        <v>236</v>
      </c>
      <c r="K41" s="28" t="s">
        <v>219</v>
      </c>
      <c r="L41" s="28" t="s">
        <v>221</v>
      </c>
      <c r="M41" s="26" t="s">
        <v>237</v>
      </c>
    </row>
    <row r="42" spans="1:13" ht="30" hidden="1" thickTop="1" thickBot="1" x14ac:dyDescent="0.35">
      <c r="A42" s="35">
        <v>4</v>
      </c>
      <c r="B42" s="58" t="s">
        <v>141</v>
      </c>
      <c r="C42" t="s">
        <v>266</v>
      </c>
      <c r="D42" s="26" t="s">
        <v>142</v>
      </c>
      <c r="E42" s="26" t="s">
        <v>20</v>
      </c>
      <c r="F42" s="26" t="s">
        <v>219</v>
      </c>
      <c r="G42" s="26" t="s">
        <v>40</v>
      </c>
      <c r="H42" s="26" t="s">
        <v>13</v>
      </c>
      <c r="I42" s="31" t="str">
        <f t="shared" si="0"/>
        <v>Salvación CHA (CD de tus conjuros)</v>
      </c>
      <c r="J42" s="26" t="s">
        <v>232</v>
      </c>
      <c r="K42" s="28" t="s">
        <v>221</v>
      </c>
      <c r="L42" s="28" t="s">
        <v>219</v>
      </c>
      <c r="M42" s="26" t="s">
        <v>249</v>
      </c>
    </row>
    <row r="43" spans="1:13" ht="15.6" hidden="1" thickTop="1" thickBot="1" x14ac:dyDescent="0.35">
      <c r="A43" s="35">
        <v>4</v>
      </c>
      <c r="B43" s="58" t="s">
        <v>143</v>
      </c>
      <c r="C43" t="s">
        <v>266</v>
      </c>
      <c r="D43" s="26" t="s">
        <v>144</v>
      </c>
      <c r="E43" s="26" t="s">
        <v>145</v>
      </c>
      <c r="F43" s="26" t="s">
        <v>220</v>
      </c>
      <c r="G43" s="26" t="s">
        <v>224</v>
      </c>
      <c r="H43" s="26" t="s">
        <v>29</v>
      </c>
      <c r="I43" s="31" t="str">
        <f t="shared" si="0"/>
        <v>- (Automático)</v>
      </c>
      <c r="J43" s="26" t="s">
        <v>247</v>
      </c>
      <c r="K43" s="28" t="s">
        <v>221</v>
      </c>
      <c r="L43" s="28" t="s">
        <v>219</v>
      </c>
      <c r="M43" s="26" t="s">
        <v>251</v>
      </c>
    </row>
    <row r="44" spans="1:13" ht="15.6" hidden="1" thickTop="1" thickBot="1" x14ac:dyDescent="0.35">
      <c r="A44" s="35">
        <v>4</v>
      </c>
      <c r="B44" s="57" t="s">
        <v>146</v>
      </c>
      <c r="C44" t="s">
        <v>263</v>
      </c>
      <c r="D44" s="26" t="s">
        <v>147</v>
      </c>
      <c r="E44" s="26" t="s">
        <v>148</v>
      </c>
      <c r="F44" s="26" t="s">
        <v>219</v>
      </c>
      <c r="G44" s="26" t="s">
        <v>224</v>
      </c>
      <c r="H44" s="26" t="s">
        <v>29</v>
      </c>
      <c r="I44" s="31" t="str">
        <f t="shared" si="0"/>
        <v>- (Automático)</v>
      </c>
      <c r="J44" s="26" t="s">
        <v>236</v>
      </c>
      <c r="K44" s="28" t="s">
        <v>219</v>
      </c>
      <c r="L44" s="28" t="s">
        <v>219</v>
      </c>
      <c r="M44" s="26" t="s">
        <v>234</v>
      </c>
    </row>
    <row r="45" spans="1:13" ht="15.6" hidden="1" thickTop="1" thickBot="1" x14ac:dyDescent="0.35">
      <c r="A45" s="35">
        <v>4</v>
      </c>
      <c r="B45" s="54" t="s">
        <v>149</v>
      </c>
      <c r="C45" t="s">
        <v>267</v>
      </c>
      <c r="D45" s="26" t="s">
        <v>150</v>
      </c>
      <c r="E45" s="26" t="s">
        <v>151</v>
      </c>
      <c r="F45" s="26" t="s">
        <v>221</v>
      </c>
      <c r="G45" s="26" t="s">
        <v>224</v>
      </c>
      <c r="H45" s="26" t="s">
        <v>29</v>
      </c>
      <c r="I45" s="31" t="str">
        <f t="shared" si="0"/>
        <v>- (Automático)</v>
      </c>
      <c r="J45" s="26" t="s">
        <v>233</v>
      </c>
      <c r="K45" s="28" t="s">
        <v>219</v>
      </c>
      <c r="L45" s="28" t="s">
        <v>219</v>
      </c>
      <c r="M45" s="26" t="s">
        <v>248</v>
      </c>
    </row>
    <row r="46" spans="1:13" ht="15.6" hidden="1" thickTop="1" thickBot="1" x14ac:dyDescent="0.35">
      <c r="A46" s="35">
        <v>4</v>
      </c>
      <c r="B46" s="57" t="s">
        <v>152</v>
      </c>
      <c r="C46" t="s">
        <v>263</v>
      </c>
      <c r="D46" s="26" t="s">
        <v>153</v>
      </c>
      <c r="E46" s="26" t="s">
        <v>154</v>
      </c>
      <c r="F46" s="26" t="s">
        <v>219</v>
      </c>
      <c r="G46" s="26" t="s">
        <v>224</v>
      </c>
      <c r="H46" s="26" t="s">
        <v>29</v>
      </c>
      <c r="I46" s="31" t="str">
        <f t="shared" si="0"/>
        <v>- (Automático)</v>
      </c>
      <c r="J46" s="26" t="s">
        <v>236</v>
      </c>
      <c r="K46" s="28" t="s">
        <v>219</v>
      </c>
      <c r="L46" s="28" t="s">
        <v>219</v>
      </c>
      <c r="M46" s="26" t="s">
        <v>237</v>
      </c>
    </row>
    <row r="47" spans="1:13" ht="15.6" hidden="1" thickTop="1" thickBot="1" x14ac:dyDescent="0.35">
      <c r="A47" s="35">
        <v>4</v>
      </c>
      <c r="B47" s="51" t="s">
        <v>155</v>
      </c>
      <c r="C47" t="s">
        <v>260</v>
      </c>
      <c r="D47" s="26" t="s">
        <v>156</v>
      </c>
      <c r="E47" s="26" t="s">
        <v>157</v>
      </c>
      <c r="F47" s="26" t="s">
        <v>219</v>
      </c>
      <c r="G47" s="26" t="s">
        <v>158</v>
      </c>
      <c r="H47" s="26" t="s">
        <v>13</v>
      </c>
      <c r="I47" s="31" t="str">
        <f t="shared" si="0"/>
        <v>Salvación DEX (CD de tus conjuros)</v>
      </c>
      <c r="J47" s="26" t="s">
        <v>242</v>
      </c>
      <c r="K47" s="28" t="s">
        <v>219</v>
      </c>
      <c r="L47" s="28" t="s">
        <v>219</v>
      </c>
      <c r="M47" s="26" t="s">
        <v>253</v>
      </c>
    </row>
    <row r="48" spans="1:13" ht="15.6" hidden="1" thickTop="1" thickBot="1" x14ac:dyDescent="0.35">
      <c r="A48" s="35">
        <v>4</v>
      </c>
      <c r="B48" s="54" t="s">
        <v>159</v>
      </c>
      <c r="C48" t="s">
        <v>267</v>
      </c>
      <c r="D48" s="26" t="s">
        <v>160</v>
      </c>
      <c r="E48" s="26" t="s">
        <v>161</v>
      </c>
      <c r="F48" s="26" t="s">
        <v>219</v>
      </c>
      <c r="G48" s="26" t="s">
        <v>224</v>
      </c>
      <c r="H48" s="26" t="s">
        <v>29</v>
      </c>
      <c r="I48" s="31" t="str">
        <f t="shared" si="0"/>
        <v>- (Automático)</v>
      </c>
      <c r="J48" s="26" t="s">
        <v>233</v>
      </c>
      <c r="K48" s="28" t="s">
        <v>221</v>
      </c>
      <c r="L48" s="28" t="s">
        <v>219</v>
      </c>
      <c r="M48" s="26" t="s">
        <v>254</v>
      </c>
    </row>
    <row r="49" spans="1:13" ht="15.6" hidden="1" thickTop="1" thickBot="1" x14ac:dyDescent="0.35">
      <c r="A49" s="35">
        <v>4</v>
      </c>
      <c r="B49" s="57" t="s">
        <v>163</v>
      </c>
      <c r="C49" t="s">
        <v>263</v>
      </c>
      <c r="D49" s="26" t="s">
        <v>164</v>
      </c>
      <c r="E49" s="26" t="s">
        <v>165</v>
      </c>
      <c r="F49" s="26" t="s">
        <v>219</v>
      </c>
      <c r="G49" s="26" t="s">
        <v>224</v>
      </c>
      <c r="H49" s="26" t="s">
        <v>29</v>
      </c>
      <c r="I49" s="31" t="str">
        <f t="shared" si="0"/>
        <v>- (Automático)</v>
      </c>
      <c r="J49" s="26" t="s">
        <v>236</v>
      </c>
      <c r="K49" s="28" t="s">
        <v>219</v>
      </c>
      <c r="L49" s="28" t="s">
        <v>219</v>
      </c>
      <c r="M49" s="26" t="s">
        <v>248</v>
      </c>
    </row>
    <row r="50" spans="1:13" ht="15.6" hidden="1" thickTop="1" thickBot="1" x14ac:dyDescent="0.35">
      <c r="A50" s="36">
        <v>5</v>
      </c>
      <c r="B50" s="54" t="s">
        <v>166</v>
      </c>
      <c r="C50" t="s">
        <v>267</v>
      </c>
      <c r="D50" s="26" t="s">
        <v>167</v>
      </c>
      <c r="E50" s="26" t="s">
        <v>168</v>
      </c>
      <c r="F50" s="26" t="s">
        <v>221</v>
      </c>
      <c r="G50" s="26" t="s">
        <v>224</v>
      </c>
      <c r="H50" s="26" t="s">
        <v>29</v>
      </c>
      <c r="I50" s="31" t="str">
        <f t="shared" si="0"/>
        <v>- (Automático)</v>
      </c>
      <c r="J50" s="26" t="s">
        <v>233</v>
      </c>
      <c r="K50" s="28" t="s">
        <v>219</v>
      </c>
      <c r="L50" s="28" t="s">
        <v>219</v>
      </c>
      <c r="M50" s="26" t="s">
        <v>231</v>
      </c>
    </row>
    <row r="51" spans="1:13" ht="30" hidden="1" thickTop="1" thickBot="1" x14ac:dyDescent="0.35">
      <c r="A51" s="36">
        <v>5</v>
      </c>
      <c r="B51" s="58" t="s">
        <v>169</v>
      </c>
      <c r="C51" t="s">
        <v>266</v>
      </c>
      <c r="D51" s="26" t="s">
        <v>170</v>
      </c>
      <c r="E51" s="26" t="s">
        <v>171</v>
      </c>
      <c r="F51" s="26" t="s">
        <v>219</v>
      </c>
      <c r="G51" s="26" t="s">
        <v>172</v>
      </c>
      <c r="H51" s="26" t="s">
        <v>13</v>
      </c>
      <c r="I51" s="31" t="str">
        <f t="shared" si="0"/>
        <v>Salvaciones múltiples (CD de tus conjuros)</v>
      </c>
      <c r="J51" s="26" t="s">
        <v>236</v>
      </c>
      <c r="K51" s="28" t="s">
        <v>219</v>
      </c>
      <c r="L51" s="28" t="s">
        <v>219</v>
      </c>
      <c r="M51" s="26" t="s">
        <v>255</v>
      </c>
    </row>
    <row r="52" spans="1:13" ht="30" hidden="1" thickTop="1" thickBot="1" x14ac:dyDescent="0.35">
      <c r="A52" s="36">
        <v>5</v>
      </c>
      <c r="B52" s="58" t="s">
        <v>173</v>
      </c>
      <c r="C52" t="s">
        <v>266</v>
      </c>
      <c r="D52" s="26" t="s">
        <v>174</v>
      </c>
      <c r="E52" s="26" t="s">
        <v>20</v>
      </c>
      <c r="F52" s="26" t="s">
        <v>219</v>
      </c>
      <c r="G52" s="26" t="s">
        <v>118</v>
      </c>
      <c r="H52" s="26" t="s">
        <v>13</v>
      </c>
      <c r="I52" s="31" t="str">
        <f t="shared" si="0"/>
        <v>Salvación según efecto (CD de tus conjuros)</v>
      </c>
      <c r="J52" s="26" t="s">
        <v>233</v>
      </c>
      <c r="K52" s="28" t="s">
        <v>221</v>
      </c>
      <c r="L52" s="28" t="s">
        <v>219</v>
      </c>
      <c r="M52" s="26" t="s">
        <v>249</v>
      </c>
    </row>
    <row r="53" spans="1:13" ht="15.6" hidden="1" thickTop="1" thickBot="1" x14ac:dyDescent="0.35">
      <c r="A53" s="36">
        <v>5</v>
      </c>
      <c r="B53" s="51" t="s">
        <v>175</v>
      </c>
      <c r="C53" t="s">
        <v>260</v>
      </c>
      <c r="D53" s="26" t="s">
        <v>176</v>
      </c>
      <c r="E53" s="26" t="s">
        <v>177</v>
      </c>
      <c r="F53" s="26" t="s">
        <v>219</v>
      </c>
      <c r="G53" s="26" t="s">
        <v>158</v>
      </c>
      <c r="H53" s="26" t="s">
        <v>13</v>
      </c>
      <c r="I53" s="31" t="str">
        <f t="shared" si="0"/>
        <v>Salvación DEX (CD de tus conjuros)</v>
      </c>
      <c r="J53" s="26" t="s">
        <v>232</v>
      </c>
      <c r="K53" s="28" t="s">
        <v>219</v>
      </c>
      <c r="L53" s="28" t="s">
        <v>219</v>
      </c>
      <c r="M53" s="26" t="s">
        <v>248</v>
      </c>
    </row>
    <row r="54" spans="1:13" ht="15.6" hidden="1" thickTop="1" thickBot="1" x14ac:dyDescent="0.35">
      <c r="A54" s="36">
        <v>5</v>
      </c>
      <c r="B54" s="58" t="s">
        <v>178</v>
      </c>
      <c r="C54" t="s">
        <v>266</v>
      </c>
      <c r="D54" s="26" t="s">
        <v>179</v>
      </c>
      <c r="E54" s="26" t="s">
        <v>180</v>
      </c>
      <c r="F54" s="26" t="s">
        <v>220</v>
      </c>
      <c r="G54" s="26" t="s">
        <v>60</v>
      </c>
      <c r="H54" s="26" t="s">
        <v>13</v>
      </c>
      <c r="I54" s="31" t="str">
        <f t="shared" si="0"/>
        <v>Salvación WIS (CD de tus conjuros)</v>
      </c>
      <c r="J54" s="26" t="s">
        <v>232</v>
      </c>
      <c r="K54" s="28" t="s">
        <v>219</v>
      </c>
      <c r="L54" s="28" t="s">
        <v>219</v>
      </c>
      <c r="M54" s="26" t="s">
        <v>256</v>
      </c>
    </row>
    <row r="55" spans="1:13" ht="15.6" hidden="1" thickTop="1" thickBot="1" x14ac:dyDescent="0.35">
      <c r="A55" s="36">
        <v>5</v>
      </c>
      <c r="B55" s="56" t="s">
        <v>181</v>
      </c>
      <c r="C55" t="s">
        <v>265</v>
      </c>
      <c r="D55" s="26" t="s">
        <v>182</v>
      </c>
      <c r="E55" s="26" t="s">
        <v>183</v>
      </c>
      <c r="F55" s="26" t="s">
        <v>219</v>
      </c>
      <c r="G55" s="26" t="s">
        <v>224</v>
      </c>
      <c r="H55" s="26" t="s">
        <v>29</v>
      </c>
      <c r="I55" s="31" t="str">
        <f t="shared" si="0"/>
        <v>- (Automático)</v>
      </c>
      <c r="J55" s="26" t="s">
        <v>236</v>
      </c>
      <c r="K55" s="28" t="s">
        <v>219</v>
      </c>
      <c r="L55" s="28" t="s">
        <v>219</v>
      </c>
      <c r="M55" s="26" t="s">
        <v>248</v>
      </c>
    </row>
    <row r="56" spans="1:13" ht="15.6" hidden="1" thickTop="1" thickBot="1" x14ac:dyDescent="0.35">
      <c r="A56" s="36">
        <v>5</v>
      </c>
      <c r="B56" s="57" t="s">
        <v>184</v>
      </c>
      <c r="C56" t="s">
        <v>263</v>
      </c>
      <c r="D56" s="26" t="s">
        <v>185</v>
      </c>
      <c r="E56" s="26" t="s">
        <v>186</v>
      </c>
      <c r="F56" s="26" t="s">
        <v>220</v>
      </c>
      <c r="G56" s="26" t="s">
        <v>224</v>
      </c>
      <c r="H56" s="26" t="s">
        <v>29</v>
      </c>
      <c r="I56" s="31" t="str">
        <f t="shared" si="0"/>
        <v>- (Automático)</v>
      </c>
      <c r="J56" s="26" t="s">
        <v>236</v>
      </c>
      <c r="K56" s="28" t="s">
        <v>219</v>
      </c>
      <c r="L56" s="28" t="s">
        <v>219</v>
      </c>
      <c r="M56" s="26" t="s">
        <v>257</v>
      </c>
    </row>
    <row r="57" spans="1:13" ht="30" hidden="1" thickTop="1" thickBot="1" x14ac:dyDescent="0.35">
      <c r="A57" s="36">
        <v>5</v>
      </c>
      <c r="B57" s="51" t="s">
        <v>187</v>
      </c>
      <c r="C57" t="s">
        <v>260</v>
      </c>
      <c r="D57" s="26" t="s">
        <v>188</v>
      </c>
      <c r="E57" s="26" t="s">
        <v>20</v>
      </c>
      <c r="F57" s="26" t="s">
        <v>219</v>
      </c>
      <c r="G57" s="26" t="s">
        <v>75</v>
      </c>
      <c r="H57" s="26" t="s">
        <v>13</v>
      </c>
      <c r="I57" s="31" t="str">
        <f t="shared" si="0"/>
        <v>Salvación CON (CD de tus conjuros)</v>
      </c>
      <c r="J57" s="26" t="s">
        <v>247</v>
      </c>
      <c r="K57" s="28" t="s">
        <v>221</v>
      </c>
      <c r="L57" s="28" t="s">
        <v>219</v>
      </c>
      <c r="M57" s="26" t="s">
        <v>251</v>
      </c>
    </row>
    <row r="58" spans="1:13" ht="15.6" hidden="1" thickTop="1" thickBot="1" x14ac:dyDescent="0.35">
      <c r="A58" s="36">
        <v>5</v>
      </c>
      <c r="B58" s="54" t="s">
        <v>189</v>
      </c>
      <c r="C58" t="s">
        <v>267</v>
      </c>
      <c r="D58" s="26" t="s">
        <v>190</v>
      </c>
      <c r="E58" s="26" t="s">
        <v>183</v>
      </c>
      <c r="F58" s="26" t="s">
        <v>221</v>
      </c>
      <c r="G58" s="26" t="s">
        <v>224</v>
      </c>
      <c r="H58" s="26" t="s">
        <v>29</v>
      </c>
      <c r="I58" s="31" t="str">
        <f t="shared" si="0"/>
        <v>- (Automático)</v>
      </c>
      <c r="J58" s="26" t="s">
        <v>233</v>
      </c>
      <c r="K58" s="28" t="s">
        <v>219</v>
      </c>
      <c r="L58" s="28" t="s">
        <v>219</v>
      </c>
      <c r="M58" s="26" t="s">
        <v>238</v>
      </c>
    </row>
    <row r="59" spans="1:13" ht="15.6" hidden="1" thickTop="1" thickBot="1" x14ac:dyDescent="0.35">
      <c r="A59" s="36">
        <v>5</v>
      </c>
      <c r="B59" s="56" t="s">
        <v>191</v>
      </c>
      <c r="C59" t="s">
        <v>265</v>
      </c>
      <c r="D59" s="26" t="s">
        <v>192</v>
      </c>
      <c r="E59" s="26" t="s">
        <v>193</v>
      </c>
      <c r="F59" s="26" t="s">
        <v>219</v>
      </c>
      <c r="G59" s="26" t="s">
        <v>224</v>
      </c>
      <c r="H59" s="26" t="s">
        <v>194</v>
      </c>
      <c r="I59" s="31" t="str">
        <f t="shared" si="0"/>
        <v>- (3d8 + SAB)</v>
      </c>
      <c r="J59" s="26" t="s">
        <v>242</v>
      </c>
      <c r="K59" s="28" t="s">
        <v>219</v>
      </c>
      <c r="L59" s="28" t="s">
        <v>219</v>
      </c>
      <c r="M59" s="26" t="s">
        <v>248</v>
      </c>
    </row>
    <row r="60" spans="1:13" ht="15.6" hidden="1" thickTop="1" thickBot="1" x14ac:dyDescent="0.35">
      <c r="A60" s="36">
        <v>5</v>
      </c>
      <c r="B60" s="56" t="s">
        <v>195</v>
      </c>
      <c r="C60" t="s">
        <v>265</v>
      </c>
      <c r="D60" s="26" t="s">
        <v>196</v>
      </c>
      <c r="E60" s="26" t="s">
        <v>197</v>
      </c>
      <c r="F60" s="26" t="s">
        <v>220</v>
      </c>
      <c r="G60" s="26" t="s">
        <v>224</v>
      </c>
      <c r="H60" s="26" t="s">
        <v>29</v>
      </c>
      <c r="I60" s="31" t="str">
        <f t="shared" si="0"/>
        <v>- (Automático)</v>
      </c>
      <c r="J60" s="26" t="s">
        <v>236</v>
      </c>
      <c r="K60" s="28" t="s">
        <v>219</v>
      </c>
      <c r="L60" s="28" t="s">
        <v>219</v>
      </c>
      <c r="M60" s="26" t="s">
        <v>248</v>
      </c>
    </row>
    <row r="61" spans="1:13" ht="15.6" hidden="1" thickTop="1" thickBot="1" x14ac:dyDescent="0.35">
      <c r="A61" s="36">
        <v>5</v>
      </c>
      <c r="B61" s="54" t="s">
        <v>198</v>
      </c>
      <c r="C61" t="s">
        <v>267</v>
      </c>
      <c r="D61" s="26" t="s">
        <v>199</v>
      </c>
      <c r="E61" s="26" t="s">
        <v>20</v>
      </c>
      <c r="F61" s="26" t="s">
        <v>219</v>
      </c>
      <c r="G61" s="26" t="s">
        <v>224</v>
      </c>
      <c r="H61" s="26" t="s">
        <v>13</v>
      </c>
      <c r="I61" s="31" t="str">
        <f t="shared" si="0"/>
        <v>- (CD de tus conjuros)</v>
      </c>
      <c r="J61" s="26" t="s">
        <v>233</v>
      </c>
      <c r="K61" s="28" t="s">
        <v>221</v>
      </c>
      <c r="L61" s="28" t="s">
        <v>219</v>
      </c>
      <c r="M61" s="26" t="s">
        <v>251</v>
      </c>
    </row>
    <row r="62" spans="1:13" ht="15" thickTop="1" x14ac:dyDescent="0.3"/>
  </sheetData>
  <autoFilter ref="L1:L1048554" xr:uid="{4A7A0E24-634F-4403-A234-636DEE4D8E06}">
    <filterColumn colId="0">
      <filters blank="1">
        <filter val="Si"/>
      </filters>
    </filterColumn>
  </autoFilter>
  <conditionalFormatting sqref="B1:D1">
    <cfRule type="containsText" dxfId="18" priority="16" operator="containsText" text="No">
      <formula>NOT(ISERROR(SEARCH("No",B1)))</formula>
    </cfRule>
    <cfRule type="containsText" dxfId="17" priority="17" operator="containsText" text="Si">
      <formula>NOT(ISERROR(SEARCH("Si",B1)))</formula>
    </cfRule>
  </conditionalFormatting>
  <conditionalFormatting sqref="F1:F1048576">
    <cfRule type="containsText" dxfId="16" priority="1" operator="containsText" text="Both">
      <formula>NOT(ISERROR(SEARCH("Both",F1)))</formula>
    </cfRule>
    <cfRule type="containsText" dxfId="15" priority="2" operator="containsText" text="Si">
      <formula>NOT(ISERROR(SEARCH("Si",F1)))</formula>
    </cfRule>
    <cfRule type="containsText" dxfId="14" priority="3" operator="containsText" text="No">
      <formula>NOT(ISERROR(SEARCH("No",F1)))</formula>
    </cfRule>
  </conditionalFormatting>
  <conditionalFormatting sqref="F1:G1">
    <cfRule type="containsText" dxfId="13" priority="14" operator="containsText" text="No">
      <formula>NOT(ISERROR(SEARCH("No",F1)))</formula>
    </cfRule>
    <cfRule type="containsText" dxfId="12" priority="15" operator="containsText" text="Si">
      <formula>NOT(ISERROR(SEARCH("Si",F1)))</formula>
    </cfRule>
  </conditionalFormatting>
  <conditionalFormatting sqref="I1">
    <cfRule type="containsText" dxfId="11" priority="12" operator="containsText" text="No">
      <formula>NOT(ISERROR(SEARCH("No",I1)))</formula>
    </cfRule>
    <cfRule type="containsText" dxfId="10" priority="13" operator="containsText" text="Si">
      <formula>NOT(ISERROR(SEARCH("Si",I1)))</formula>
    </cfRule>
  </conditionalFormatting>
  <conditionalFormatting sqref="K1:K1048576">
    <cfRule type="containsText" dxfId="9" priority="7" operator="containsText" text="Si">
      <formula>NOT(ISERROR(SEARCH("Si",K1)))</formula>
    </cfRule>
  </conditionalFormatting>
  <conditionalFormatting sqref="K1:L1048554">
    <cfRule type="containsText" dxfId="8" priority="10" operator="containsText" text="No">
      <formula>NOT(ISERROR(SEARCH("No",K1)))</formula>
    </cfRule>
    <cfRule type="containsText" dxfId="7" priority="11" operator="containsText" text="Si">
      <formula>NOT(ISERROR(SEARCH("Si",K1)))</formula>
    </cfRule>
  </conditionalFormatting>
  <conditionalFormatting sqref="N14">
    <cfRule type="containsText" dxfId="6" priority="18" operator="containsText" text="No">
      <formula>NOT(ISERROR(SEARCH("No",N14)))</formula>
    </cfRule>
    <cfRule type="containsText" dxfId="5" priority="19" operator="containsText" text="Si">
      <formula>NOT(ISERROR(SEARCH("Si",N14)))</formula>
    </cfRule>
  </conditionalFormatting>
  <conditionalFormatting sqref="P9">
    <cfRule type="containsText" dxfId="4" priority="4" operator="containsText" text="Si">
      <formula>NOT(ISERROR(SEARCH("Si",P9)))</formula>
    </cfRule>
    <cfRule type="containsText" dxfId="3" priority="5" operator="containsText" text="No">
      <formula>NOT(ISERROR(SEARCH("No",P9)))</formula>
    </cfRule>
    <cfRule type="containsText" dxfId="2" priority="6" operator="containsText" text="Si">
      <formula>NOT(ISERROR(SEARCH("Si",P9)))</formula>
    </cfRule>
  </conditionalFormatting>
  <conditionalFormatting sqref="P1:U1">
    <cfRule type="containsText" dxfId="1" priority="8" operator="containsText" text="No">
      <formula>NOT(ISERROR(SEARCH("No",P1)))</formula>
    </cfRule>
    <cfRule type="containsText" dxfId="0" priority="9" operator="containsText" text="Si">
      <formula>NOT(ISERROR(SEARCH("Si",P1)))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Conjuros Clerigo</vt:lpstr>
      <vt:lpstr>Spells Remastered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jonathan mendoza</cp:lastModifiedBy>
  <dcterms:created xsi:type="dcterms:W3CDTF">2026-01-31T07:15:24Z</dcterms:created>
  <dcterms:modified xsi:type="dcterms:W3CDTF">2026-09-20T05:19:49Z</dcterms:modified>
</cp:coreProperties>
</file>